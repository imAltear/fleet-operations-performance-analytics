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msyak\Documents\AT20 - TEKNOLOGI MAKLUMAT\LATIHAN INDUSTRI\Project\dataset\Practice\"/>
    </mc:Choice>
  </mc:AlternateContent>
  <xr:revisionPtr revIDLastSave="0" documentId="13_ncr:1_{664CF874-33EF-4B96-833C-A302238CA43A}" xr6:coauthVersionLast="47" xr6:coauthVersionMax="47" xr10:uidLastSave="{00000000-0000-0000-0000-000000000000}"/>
  <bookViews>
    <workbookView xWindow="-120" yWindow="-120" windowWidth="29040" windowHeight="16440" activeTab="2" xr2:uid="{DF08BCE9-890A-3941-8C5A-795D1E6F1FC0}"/>
  </bookViews>
  <sheets>
    <sheet name="Database" sheetId="3" r:id="rId1"/>
    <sheet name="Dashboard" sheetId="4" r:id="rId2"/>
    <sheet name="Schedule" sheetId="6" r:id="rId3"/>
    <sheet name="Pivottables" sheetId="5" r:id="rId4"/>
  </sheets>
  <definedNames>
    <definedName name="Slicer_Driver">#N/A</definedName>
    <definedName name="Slicer_Driver1">#N/A</definedName>
    <definedName name="Slicer_Month">#N/A</definedName>
    <definedName name="Slicer_Month1">#N/A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M5" i="5" l="1"/>
  <c r="AM4" i="5"/>
  <c r="AM8" i="5" s="1"/>
  <c r="AG5" i="5"/>
  <c r="AG4" i="5"/>
  <c r="AG8" i="5" s="1"/>
  <c r="O7" i="5"/>
  <c r="O6" i="5"/>
  <c r="O5" i="5"/>
  <c r="H6" i="5"/>
</calcChain>
</file>

<file path=xl/sharedStrings.xml><?xml version="1.0" encoding="utf-8"?>
<sst xmlns="http://schemas.openxmlformats.org/spreadsheetml/2006/main" count="502" uniqueCount="92">
  <si>
    <t>N</t>
  </si>
  <si>
    <t>Date</t>
  </si>
  <si>
    <t>Year</t>
  </si>
  <si>
    <t>Month</t>
  </si>
  <si>
    <t>Day</t>
  </si>
  <si>
    <t>Driver</t>
  </si>
  <si>
    <t>Buddy</t>
  </si>
  <si>
    <t>Vehicle</t>
  </si>
  <si>
    <t>Distance (km)</t>
  </si>
  <si>
    <t>Trip Classify</t>
  </si>
  <si>
    <t>Distance Traveled</t>
  </si>
  <si>
    <t>From</t>
  </si>
  <si>
    <t>To</t>
  </si>
  <si>
    <t>Goods</t>
  </si>
  <si>
    <t>Driver wage/trip</t>
  </si>
  <si>
    <t>Buddy wage/trip</t>
  </si>
  <si>
    <t>Driver Salary</t>
  </si>
  <si>
    <t>Buddy Salary</t>
  </si>
  <si>
    <t>Weight (Tons)</t>
  </si>
  <si>
    <t>Hired Transportation</t>
  </si>
  <si>
    <t>Jan</t>
  </si>
  <si>
    <t>Antoni</t>
  </si>
  <si>
    <t>Mike</t>
  </si>
  <si>
    <t>72-0466/0467</t>
  </si>
  <si>
    <t>Return</t>
  </si>
  <si>
    <t>Xunthai</t>
  </si>
  <si>
    <t>Gidec</t>
  </si>
  <si>
    <t>Woodchip</t>
  </si>
  <si>
    <t>No</t>
  </si>
  <si>
    <t>Feb</t>
  </si>
  <si>
    <t>Jaison</t>
  </si>
  <si>
    <t>72-1001/1002</t>
  </si>
  <si>
    <t>Port Said</t>
  </si>
  <si>
    <t>Safeskin</t>
  </si>
  <si>
    <t>Woodpellet</t>
  </si>
  <si>
    <t>Mar</t>
  </si>
  <si>
    <t>Suies</t>
  </si>
  <si>
    <t>Apr</t>
  </si>
  <si>
    <t>One-Way</t>
  </si>
  <si>
    <t>X1 Port</t>
  </si>
  <si>
    <t>May</t>
  </si>
  <si>
    <t>Lee</t>
  </si>
  <si>
    <t>Top glove</t>
  </si>
  <si>
    <t>Jun</t>
  </si>
  <si>
    <t>Alex</t>
  </si>
  <si>
    <t>Jul</t>
  </si>
  <si>
    <t>Giza</t>
  </si>
  <si>
    <t>Aug</t>
  </si>
  <si>
    <t>Yes</t>
  </si>
  <si>
    <t>Sep</t>
  </si>
  <si>
    <t>Mina</t>
  </si>
  <si>
    <t>Oct</t>
  </si>
  <si>
    <t>Air Port</t>
  </si>
  <si>
    <t>Nov</t>
  </si>
  <si>
    <t>Dec</t>
  </si>
  <si>
    <t>PT</t>
  </si>
  <si>
    <t>Close</t>
  </si>
  <si>
    <t>Far</t>
  </si>
  <si>
    <t>Regular</t>
  </si>
  <si>
    <t>Count of N</t>
  </si>
  <si>
    <t>Total Trips</t>
  </si>
  <si>
    <t>Row Labels</t>
  </si>
  <si>
    <t>Grand Total</t>
  </si>
  <si>
    <t>Count of Hired Transportation</t>
  </si>
  <si>
    <t>Trips Classify</t>
  </si>
  <si>
    <t>Count of Trip Classify</t>
  </si>
  <si>
    <t>Sum of Driver wage/trip</t>
  </si>
  <si>
    <t>Sum of Buddy wage/trip</t>
  </si>
  <si>
    <t>Driver &amp; Buddy Income Per Trips Classify</t>
  </si>
  <si>
    <t>Cargo Types</t>
  </si>
  <si>
    <t>Count of Goods</t>
  </si>
  <si>
    <t>Total Expenses</t>
  </si>
  <si>
    <t>Sum of Total Expenses</t>
  </si>
  <si>
    <t>Total Salaries</t>
  </si>
  <si>
    <t>Sum of Total Salaries</t>
  </si>
  <si>
    <t>Total Wages</t>
  </si>
  <si>
    <t>Sum of Total Wages</t>
  </si>
  <si>
    <t>Salaries</t>
  </si>
  <si>
    <t>Wages</t>
  </si>
  <si>
    <t>Percentage</t>
  </si>
  <si>
    <t>Expenses by Month</t>
  </si>
  <si>
    <t>Trips (Return vs One-Way)</t>
  </si>
  <si>
    <t>Sum of Distance (km)</t>
  </si>
  <si>
    <t>Count of Distance Traveled</t>
  </si>
  <si>
    <t>Count of Driver</t>
  </si>
  <si>
    <t>Count of Buddy</t>
  </si>
  <si>
    <t>Sum of N</t>
  </si>
  <si>
    <t>Trips by Month</t>
  </si>
  <si>
    <t>Column Labels</t>
  </si>
  <si>
    <t>Trip</t>
  </si>
  <si>
    <t>Truck</t>
  </si>
  <si>
    <t>Truck 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</si>
</sst>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1" formatCode="_(* #,##0_);_(* \(#,##0\);_(* &quot;-&quot;_);_(@_)"/>
    <numFmt numFmtId="164" formatCode="[$-F800]dddd\,\ mmmm\ dd\,\ yyyy"/>
    <numFmt numFmtId="165" formatCode="mmm"/>
    <numFmt numFmtId="166" formatCode="_-[$฿-41E]* #,##0_-;\-[$฿-41E]* #,##0_-;_-[$฿-41E]* &quot;-&quot;??_-;_-@_-"/>
    <numFmt numFmtId="167" formatCode="_-[$RM-4409]* #,##0.00_-;\-[$RM-4409]* #,##0.00_-;_-[$RM-4409]* &quot;-&quot;??_-;_-@_-"/>
    <numFmt numFmtId="168" formatCode="_-[$RM-4409]* #,##0_-;\-[$RM-4409]* #,##0_-;_-[$RM-4409]* &quot;-&quot;_-;_-@_-"/>
    <numFmt numFmtId="169" formatCode="[$RM-4409]#,##0.00"/>
  </numFmts>
  <fonts count="12" x14ac:knownFonts="1">
    <font>
      <sz val="12"/>
      <color theme="1"/>
      <name val="Calibri"/>
      <family val="2"/>
      <scheme val="minor"/>
    </font>
    <font>
      <sz val="12"/>
      <color theme="1"/>
      <name val="Calibri"/>
      <family val="2"/>
      <scheme val="minor"/>
    </font>
    <font>
      <sz val="11"/>
      <color theme="1"/>
      <name val="Calibri"/>
      <family val="2"/>
      <scheme val="minor"/>
    </font>
    <font>
      <b/>
      <sz val="11"/>
      <color theme="0"/>
      <name val="Arial"/>
      <family val="2"/>
    </font>
    <font>
      <sz val="12"/>
      <color theme="1" tint="0.34998626667073579"/>
      <name val="Arial"/>
      <family val="2"/>
    </font>
    <font>
      <sz val="14"/>
      <color theme="1"/>
      <name val="Calibri"/>
      <family val="2"/>
      <scheme val="minor"/>
    </font>
    <font>
      <sz val="14"/>
      <color rgb="FFFF0000"/>
      <name val="Calibri"/>
      <family val="2"/>
      <scheme val="minor"/>
    </font>
    <font>
      <sz val="11"/>
      <color rgb="FF9C5700"/>
      <name val="Calibri"/>
      <family val="2"/>
      <scheme val="minor"/>
    </font>
    <font>
      <sz val="12"/>
      <color theme="0"/>
      <name val="Calibri"/>
      <family val="2"/>
      <scheme val="minor"/>
    </font>
    <font>
      <sz val="16"/>
      <color rgb="FF9C5700"/>
      <name val="Abadi"/>
      <family val="2"/>
    </font>
    <font>
      <sz val="8"/>
      <color theme="1"/>
      <name val="Calibri"/>
      <family val="2"/>
      <scheme val="minor"/>
    </font>
    <font>
      <b/>
      <sz val="10"/>
      <color theme="0"/>
      <name val="Abadi"/>
      <family val="2"/>
    </font>
  </fonts>
  <fills count="7">
    <fill>
      <patternFill patternType="none"/>
    </fill>
    <fill>
      <patternFill patternType="gray125"/>
    </fill>
    <fill>
      <patternFill patternType="solid">
        <fgColor rgb="FF48515F"/>
        <bgColor indexed="64"/>
      </patternFill>
    </fill>
    <fill>
      <patternFill patternType="solid">
        <fgColor theme="6" tint="0.79998168889431442"/>
        <bgColor theme="6" tint="0.79998168889431442"/>
      </patternFill>
    </fill>
    <fill>
      <patternFill patternType="solid">
        <fgColor rgb="FFE4E6ED"/>
        <bgColor indexed="64"/>
      </patternFill>
    </fill>
    <fill>
      <patternFill patternType="solid">
        <fgColor rgb="FFFFEB9C"/>
      </patternFill>
    </fill>
    <fill>
      <patternFill patternType="solid">
        <fgColor rgb="FFECCD59"/>
        <bgColor indexed="64"/>
      </patternFill>
    </fill>
  </fills>
  <borders count="16">
    <border>
      <left/>
      <right/>
      <top/>
      <bottom/>
      <diagonal/>
    </border>
    <border>
      <left/>
      <right/>
      <top/>
      <bottom style="thin">
        <color theme="6"/>
      </bottom>
      <diagonal/>
    </border>
    <border>
      <left style="dotted">
        <color indexed="64"/>
      </left>
      <right style="dotted">
        <color indexed="64"/>
      </right>
      <top style="dotted">
        <color indexed="64"/>
      </top>
      <bottom style="dotted">
        <color indexed="64"/>
      </bottom>
      <diagonal/>
    </border>
    <border>
      <left/>
      <right style="dotted">
        <color indexed="64"/>
      </right>
      <top style="dotted">
        <color indexed="64"/>
      </top>
      <bottom style="dotted">
        <color indexed="64"/>
      </bottom>
      <diagonal/>
    </border>
    <border>
      <left/>
      <right style="dotted">
        <color indexed="64"/>
      </right>
      <top style="dotted">
        <color indexed="64"/>
      </top>
      <bottom/>
      <diagonal/>
    </border>
    <border>
      <left/>
      <right style="dotted">
        <color indexed="64"/>
      </right>
      <top/>
      <bottom/>
      <diagonal/>
    </border>
    <border>
      <left/>
      <right style="dotted">
        <color indexed="64"/>
      </right>
      <top/>
      <bottom style="dotted">
        <color indexed="64"/>
      </bottom>
      <diagonal/>
    </border>
    <border>
      <left style="dotted">
        <color indexed="64"/>
      </left>
      <right/>
      <top style="dotted">
        <color indexed="64"/>
      </top>
      <bottom/>
      <diagonal/>
    </border>
    <border>
      <left style="dotted">
        <color indexed="64"/>
      </left>
      <right/>
      <top/>
      <bottom/>
      <diagonal/>
    </border>
    <border>
      <left style="dotted">
        <color indexed="64"/>
      </left>
      <right/>
      <top/>
      <bottom style="dotted">
        <color indexed="64"/>
      </bottom>
      <diagonal/>
    </border>
    <border>
      <left/>
      <right/>
      <top/>
      <bottom style="hair">
        <color indexed="64"/>
      </bottom>
      <diagonal/>
    </border>
    <border>
      <left/>
      <right style="hair">
        <color indexed="64"/>
      </right>
      <top style="hair">
        <color indexed="64"/>
      </top>
      <bottom/>
      <diagonal/>
    </border>
    <border>
      <left/>
      <right style="hair">
        <color indexed="64"/>
      </right>
      <top/>
      <bottom style="hair">
        <color indexed="64"/>
      </bottom>
      <diagonal/>
    </border>
    <border>
      <left/>
      <right style="hair">
        <color indexed="64"/>
      </right>
      <top/>
      <bottom/>
      <diagonal/>
    </border>
    <border>
      <left style="hair">
        <color indexed="64"/>
      </left>
      <right/>
      <top style="hair">
        <color indexed="64"/>
      </top>
      <bottom/>
      <diagonal/>
    </border>
    <border>
      <left style="hair">
        <color indexed="64"/>
      </left>
      <right/>
      <top/>
      <bottom style="hair">
        <color indexed="64"/>
      </bottom>
      <diagonal/>
    </border>
  </borders>
  <cellStyleXfs count="4">
    <xf numFmtId="0" fontId="0" fillId="0" borderId="0"/>
    <xf numFmtId="167" fontId="1" fillId="0" borderId="0" applyFont="0" applyFill="0" applyBorder="0" applyAlignment="0" applyProtection="0"/>
    <xf numFmtId="9" fontId="1" fillId="0" borderId="0" applyFont="0" applyFill="0" applyBorder="0" applyAlignment="0" applyProtection="0"/>
    <xf numFmtId="0" fontId="7" fillId="5" borderId="0" applyNumberFormat="0" applyBorder="0" applyAlignment="0" applyProtection="0"/>
  </cellStyleXfs>
  <cellXfs count="56">
    <xf numFmtId="0" fontId="0" fillId="0" borderId="0" xfId="0"/>
    <xf numFmtId="0" fontId="0" fillId="0" borderId="0" xfId="0" applyAlignment="1">
      <alignment wrapText="1"/>
    </xf>
    <xf numFmtId="0" fontId="2" fillId="0" borderId="0" xfId="0" applyFont="1" applyAlignment="1">
      <alignment wrapText="1"/>
    </xf>
    <xf numFmtId="0" fontId="3" fillId="2" borderId="1" xfId="0" applyFont="1" applyFill="1" applyBorder="1" applyAlignment="1">
      <alignment horizontal="center" vertical="center" wrapText="1"/>
    </xf>
    <xf numFmtId="1" fontId="4" fillId="3" borderId="0" xfId="1" applyNumberFormat="1" applyFont="1" applyFill="1" applyBorder="1" applyAlignment="1">
      <alignment horizontal="center" vertical="center" wrapText="1"/>
    </xf>
    <xf numFmtId="164" fontId="4" fillId="3" borderId="0" xfId="0" applyNumberFormat="1" applyFont="1" applyFill="1" applyAlignment="1">
      <alignment horizontal="left" vertical="center" wrapText="1"/>
    </xf>
    <xf numFmtId="0" fontId="4" fillId="3" borderId="0" xfId="0" applyFont="1" applyFill="1" applyAlignment="1">
      <alignment horizontal="center" vertical="center" wrapText="1"/>
    </xf>
    <xf numFmtId="165" fontId="4" fillId="3" borderId="0" xfId="0" applyNumberFormat="1" applyFont="1" applyFill="1" applyAlignment="1">
      <alignment horizontal="center" vertical="center" wrapText="1"/>
    </xf>
    <xf numFmtId="166" fontId="4" fillId="3" borderId="0" xfId="1" applyNumberFormat="1" applyFont="1" applyFill="1" applyBorder="1" applyAlignment="1">
      <alignment horizontal="center" vertical="center" wrapText="1"/>
    </xf>
    <xf numFmtId="1" fontId="4" fillId="0" borderId="0" xfId="1" applyNumberFormat="1" applyFont="1" applyBorder="1" applyAlignment="1">
      <alignment horizontal="center" vertical="center" wrapText="1"/>
    </xf>
    <xf numFmtId="164" fontId="4" fillId="0" borderId="0" xfId="0" applyNumberFormat="1" applyFont="1" applyAlignment="1">
      <alignment horizontal="left" vertical="center" wrapText="1"/>
    </xf>
    <xf numFmtId="0" fontId="4" fillId="0" borderId="0" xfId="0" applyFont="1" applyAlignment="1">
      <alignment horizontal="center" vertical="center" wrapText="1"/>
    </xf>
    <xf numFmtId="165" fontId="4" fillId="0" borderId="0" xfId="0" applyNumberFormat="1" applyFont="1" applyAlignment="1">
      <alignment horizontal="center" vertical="center" wrapText="1"/>
    </xf>
    <xf numFmtId="166" fontId="4" fillId="0" borderId="0" xfId="1" applyNumberFormat="1" applyFont="1" applyBorder="1" applyAlignment="1">
      <alignment horizontal="center" vertical="center" wrapText="1"/>
    </xf>
    <xf numFmtId="0" fontId="0" fillId="4" borderId="0" xfId="0" applyFill="1"/>
    <xf numFmtId="0" fontId="5" fillId="0" borderId="0" xfId="0" applyFont="1" applyAlignment="1">
      <alignment vertical="center"/>
    </xf>
    <xf numFmtId="0" fontId="6" fillId="0" borderId="0" xfId="0" applyFont="1" applyAlignment="1">
      <alignment vertical="center"/>
    </xf>
    <xf numFmtId="0" fontId="5" fillId="0" borderId="0" xfId="0" pivotButton="1" applyFont="1" applyAlignment="1">
      <alignment vertical="center"/>
    </xf>
    <xf numFmtId="0" fontId="5" fillId="0" borderId="0" xfId="0" applyFont="1" applyAlignment="1">
      <alignment horizontal="lef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7" xfId="0" applyFont="1" applyBorder="1"/>
    <xf numFmtId="0" fontId="5" fillId="0" borderId="8" xfId="0" applyFont="1" applyBorder="1"/>
    <xf numFmtId="0" fontId="5" fillId="0" borderId="9" xfId="0" applyFont="1" applyBorder="1"/>
    <xf numFmtId="0" fontId="5" fillId="0" borderId="4" xfId="0" applyFont="1" applyBorder="1"/>
    <xf numFmtId="0" fontId="5" fillId="0" borderId="5" xfId="0" applyFont="1" applyBorder="1"/>
    <xf numFmtId="0" fontId="5" fillId="0" borderId="6" xfId="0" applyFont="1" applyBorder="1"/>
    <xf numFmtId="168" fontId="4" fillId="3" borderId="0" xfId="1" applyNumberFormat="1" applyFont="1" applyFill="1" applyBorder="1" applyAlignment="1">
      <alignment horizontal="center" vertical="center" wrapText="1"/>
    </xf>
    <xf numFmtId="169" fontId="4" fillId="3" borderId="0" xfId="1" applyNumberFormat="1" applyFont="1" applyFill="1" applyBorder="1" applyAlignment="1">
      <alignment horizontal="center" vertical="center" wrapText="1"/>
    </xf>
    <xf numFmtId="169" fontId="4" fillId="0" borderId="0" xfId="1" applyNumberFormat="1" applyFont="1" applyBorder="1" applyAlignment="1">
      <alignment horizontal="center" vertical="center" wrapText="1"/>
    </xf>
    <xf numFmtId="168" fontId="4" fillId="0" borderId="0" xfId="1" applyNumberFormat="1" applyFont="1" applyBorder="1" applyAlignment="1">
      <alignment horizontal="center" vertical="center" wrapText="1"/>
    </xf>
    <xf numFmtId="167" fontId="5" fillId="0" borderId="0" xfId="0" pivotButton="1" applyNumberFormat="1" applyFont="1" applyAlignment="1">
      <alignment vertical="center"/>
    </xf>
    <xf numFmtId="167" fontId="5" fillId="0" borderId="0" xfId="0" applyNumberFormat="1" applyFont="1" applyAlignment="1">
      <alignment vertical="center"/>
    </xf>
    <xf numFmtId="167" fontId="5" fillId="0" borderId="0" xfId="0" applyNumberFormat="1" applyFont="1" applyAlignment="1">
      <alignment horizontal="left" vertical="center"/>
    </xf>
    <xf numFmtId="168" fontId="5" fillId="0" borderId="0" xfId="0" applyNumberFormat="1" applyFont="1" applyAlignment="1">
      <alignment vertical="center"/>
    </xf>
    <xf numFmtId="41" fontId="5" fillId="0" borderId="0" xfId="0" applyNumberFormat="1" applyFont="1" applyAlignment="1">
      <alignment vertical="center"/>
    </xf>
    <xf numFmtId="0" fontId="0" fillId="0" borderId="10" xfId="0" applyBorder="1"/>
    <xf numFmtId="0" fontId="5" fillId="0" borderId="10" xfId="0" applyFont="1" applyBorder="1" applyAlignment="1">
      <alignment vertical="center"/>
    </xf>
    <xf numFmtId="0" fontId="0" fillId="0" borderId="13" xfId="0" applyBorder="1"/>
    <xf numFmtId="0" fontId="5" fillId="0" borderId="14" xfId="0" applyFont="1" applyBorder="1"/>
    <xf numFmtId="0" fontId="5" fillId="0" borderId="11" xfId="0" applyFont="1" applyBorder="1"/>
    <xf numFmtId="0" fontId="5" fillId="0" borderId="15" xfId="0" applyFont="1" applyBorder="1"/>
    <xf numFmtId="0" fontId="5" fillId="0" borderId="12" xfId="0" applyFont="1" applyBorder="1"/>
    <xf numFmtId="0" fontId="5" fillId="0" borderId="0" xfId="0" applyFont="1"/>
    <xf numFmtId="9" fontId="5" fillId="0" borderId="0" xfId="2" applyFont="1"/>
    <xf numFmtId="0" fontId="5" fillId="0" borderId="0" xfId="0" applyNumberFormat="1" applyFont="1" applyAlignment="1">
      <alignment vertical="center"/>
    </xf>
    <xf numFmtId="164" fontId="0" fillId="0" borderId="0" xfId="0" applyNumberFormat="1"/>
    <xf numFmtId="164" fontId="5" fillId="0" borderId="0" xfId="0" applyNumberFormat="1" applyFont="1" applyAlignment="1">
      <alignment vertical="center"/>
    </xf>
    <xf numFmtId="0" fontId="9" fillId="5" borderId="0" xfId="3" applyFont="1" applyAlignment="1">
      <alignment horizontal="center" vertical="center"/>
    </xf>
    <xf numFmtId="164" fontId="9" fillId="5" borderId="0" xfId="3" applyNumberFormat="1" applyFont="1" applyAlignment="1">
      <alignment horizontal="center" vertical="center"/>
    </xf>
    <xf numFmtId="14" fontId="0" fillId="4" borderId="0" xfId="0" applyNumberFormat="1" applyFill="1"/>
    <xf numFmtId="37" fontId="10" fillId="0" borderId="0" xfId="0" applyNumberFormat="1" applyFont="1" applyAlignment="1">
      <alignment horizontal="center" vertical="center"/>
    </xf>
    <xf numFmtId="14" fontId="10" fillId="0" borderId="0" xfId="0" applyNumberFormat="1" applyFont="1" applyAlignment="1">
      <alignment horizontal="center" vertical="center"/>
    </xf>
    <xf numFmtId="167" fontId="10" fillId="0" borderId="0" xfId="0" applyNumberFormat="1" applyFont="1" applyAlignment="1">
      <alignment horizontal="center" vertical="center"/>
    </xf>
    <xf numFmtId="0" fontId="11" fillId="6" borderId="0" xfId="0" applyFont="1" applyFill="1" applyAlignment="1">
      <alignment horizontal="center"/>
    </xf>
    <xf numFmtId="0" fontId="8" fillId="4" borderId="0" xfId="0" applyFont="1" applyFill="1"/>
  </cellXfs>
  <cellStyles count="4">
    <cellStyle name="Currency" xfId="1" builtinId="4" customBuiltin="1"/>
    <cellStyle name="Neutral" xfId="3" builtinId="28"/>
    <cellStyle name="Normal" xfId="0" builtinId="0"/>
    <cellStyle name="Percent" xfId="2" builtinId="5"/>
  </cellStyles>
  <dxfs count="20638">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8" formatCode="_-[$RM-4409]* #,##0_-;\-[$RM-4409]* #,##0_-;_-[$RM-4409]*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font>
        <sz val="14"/>
      </font>
    </dxf>
    <dxf>
      <font>
        <sz val="14"/>
      </font>
    </dxf>
    <dxf>
      <font>
        <sz val="14"/>
      </font>
    </dxf>
    <dxf>
      <font>
        <sz val="14"/>
      </font>
    </dxf>
    <dxf>
      <alignment vertical="center"/>
    </dxf>
    <dxf>
      <alignment vertical="center"/>
    </dxf>
    <dxf>
      <alignment vertical="center"/>
    </dxf>
    <dxf>
      <font>
        <sz val="14"/>
      </font>
    </dxf>
    <dxf>
      <font>
        <sz val="14"/>
      </font>
    </dxf>
    <dxf>
      <font>
        <sz val="14"/>
      </font>
    </dxf>
    <dxf>
      <font>
        <sz val="14"/>
      </font>
    </dxf>
    <dxf>
      <alignment vertical="center"/>
    </dxf>
    <dxf>
      <alignment vertical="center"/>
    </dxf>
    <dxf>
      <alignment vertical="center"/>
    </dxf>
    <dxf>
      <numFmt numFmtId="167" formatCode="_-[$RM-4409]* #,##0.00_-;\-[$RM-4409]* #,##0.00_-;_-[$RM-4409]* &quot;-&quot;??_-;_-@_-"/>
    </dxf>
    <dxf>
      <numFmt numFmtId="167" formatCode="_-[$RM-4409]* #,##0.00_-;\-[$RM-4409]* #,##0.00_-;_-[$RM-4409]* &quot;-&quot;??_-;_-@_-"/>
    </dxf>
    <dxf>
      <numFmt numFmtId="167" formatCode="_-[$RM-4409]* #,##0.00_-;\-[$RM-4409]* #,##0.00_-;_-[$RM-4409]* &quot;-&quot;??_-;_-@_-"/>
    </dxf>
    <dxf>
      <numFmt numFmtId="33" formatCode="_(* #,##0_);_(* \(#,##0\);_(* &quot;-&quot;_);_(@_)"/>
    </dxf>
    <dxf>
      <numFmt numFmtId="33" formatCode="_(* #,##0_);_(* \(#,##0\);_(* &quot;-&quot;_);_(@_)"/>
    </dxf>
    <dxf>
      <numFmt numFmtId="5" formatCode="#,##0_);\(#,##0\)"/>
    </dxf>
    <dxf>
      <numFmt numFmtId="5" formatCode="#,##0_);\(#,##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2"/>
        </patternFill>
      </fill>
    </dxf>
    <dxf>
      <fill>
        <patternFill>
          <bgColor theme="2"/>
        </patternFill>
      </fill>
    </dxf>
    <dxf>
      <fill>
        <patternFill>
          <bgColor theme="2"/>
        </patternFill>
      </fill>
    </dxf>
    <dxf>
      <font>
        <b val="0"/>
        <i val="0"/>
        <strike val="0"/>
        <condense val="0"/>
        <extend val="0"/>
        <outline val="0"/>
        <shadow val="0"/>
        <u val="none"/>
        <vertAlign val="baseline"/>
        <sz val="12"/>
        <color theme="1" tint="0.34998626667073579"/>
        <name val="Arial"/>
        <family val="2"/>
        <scheme val="none"/>
      </font>
      <numFmt numFmtId="166" formatCode="_-[$฿-41E]* #,##0_-;\-[$฿-41E]* #,##0_-;_-[$฿-41E]* &quot;-&quot;??_-;_-@_-"/>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numFmt numFmtId="168" formatCode="_-[$RM-4409]* #,##0_-;\-[$RM-4409]* #,##0_-;_-[$RM-4409]* &quot;-&quot;_-;_-@_-"/>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numFmt numFmtId="168" formatCode="_-[$RM-4409]* #,##0_-;\-[$RM-4409]* #,##0_-;_-[$RM-4409]* &quot;-&quot;_-;_-@_-"/>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numFmt numFmtId="168" formatCode="_-[$RM-4409]* #,##0_-;\-[$RM-4409]* #,##0_-;_-[$RM-4409]* &quot;-&quot;_-;_-@_-"/>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numFmt numFmtId="169" formatCode="[$RM-4409]#,##0.00"/>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numFmt numFmtId="166" formatCode="_-[$฿-41E]* #,##0_-;\-[$฿-41E]* #,##0_-;_-[$฿-41E]* &quot;-&quot;??_-;_-@_-"/>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numFmt numFmtId="165" formatCode="mmm"/>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numFmt numFmtId="164" formatCode="[$-F800]dddd\,\ mmmm\ dd\,\ yyyy"/>
      <alignment horizontal="left" vertical="center" textRotation="0" wrapText="1" indent="0" justifyLastLine="0" shrinkToFit="0" readingOrder="0"/>
    </dxf>
    <dxf>
      <font>
        <b val="0"/>
        <i val="0"/>
        <strike val="0"/>
        <condense val="0"/>
        <extend val="0"/>
        <outline val="0"/>
        <shadow val="0"/>
        <u val="none"/>
        <vertAlign val="baseline"/>
        <sz val="12"/>
        <color theme="1" tint="0.34998626667073579"/>
        <name val="Arial"/>
        <family val="2"/>
        <scheme val="none"/>
      </font>
      <numFmt numFmtId="1" formatCode="0"/>
      <alignment horizontal="center" vertical="center" textRotation="0" wrapText="1" indent="0" justifyLastLine="0" shrinkToFit="0" readingOrder="0"/>
    </dxf>
    <dxf>
      <border outline="0">
        <top style="thin">
          <color theme="6"/>
        </top>
        <bottom style="thin">
          <color theme="6"/>
        </bottom>
      </border>
    </dxf>
    <dxf>
      <font>
        <b val="0"/>
        <i val="0"/>
        <strike val="0"/>
        <condense val="0"/>
        <extend val="0"/>
        <outline val="0"/>
        <shadow val="0"/>
        <u val="none"/>
        <vertAlign val="baseline"/>
        <sz val="12"/>
        <color theme="1" tint="0.34998626667073579"/>
        <name val="Arial"/>
        <family val="2"/>
        <scheme val="none"/>
      </font>
      <alignment horizontal="center" vertical="center" textRotation="0" wrapText="1" indent="0" justifyLastLine="0" shrinkToFit="0" readingOrder="0"/>
    </dxf>
    <dxf>
      <border outline="0">
        <bottom style="thin">
          <color theme="6"/>
        </bottom>
      </border>
    </dxf>
    <dxf>
      <font>
        <b/>
        <i val="0"/>
        <strike val="0"/>
        <condense val="0"/>
        <extend val="0"/>
        <outline val="0"/>
        <shadow val="0"/>
        <u val="none"/>
        <vertAlign val="baseline"/>
        <sz val="11"/>
        <color theme="0"/>
        <name val="Arial"/>
        <family val="2"/>
        <scheme val="none"/>
      </font>
      <fill>
        <patternFill patternType="solid">
          <fgColor indexed="64"/>
          <bgColor rgb="FF48515F"/>
        </patternFill>
      </fill>
      <alignment horizontal="center" vertical="center" textRotation="0" wrapText="1" indent="0" justifyLastLine="0" shrinkToFit="0" readingOrder="0"/>
    </dxf>
    <dxf>
      <font>
        <b/>
        <i val="0"/>
        <sz val="12"/>
        <color theme="2"/>
        <name val="Calibri"/>
        <family val="2"/>
        <scheme val="minor"/>
      </font>
      <fill>
        <patternFill patternType="none">
          <bgColor auto="1"/>
        </patternFill>
      </fill>
    </dxf>
    <dxf>
      <fill>
        <patternFill patternType="solid">
          <bgColor theme="0"/>
        </patternFill>
      </fill>
    </dxf>
  </dxfs>
  <tableStyles count="1" defaultTableStyle="TableStyleMedium2" defaultPivotStyle="PivotStyleLight16">
    <tableStyle name="Slicer Style 1 2 3" pivot="0" table="0" count="9" xr9:uid="{0102E2EA-E98C-3844-85BE-58E24DC99221}">
      <tableStyleElement type="wholeTable" dxfId="20637"/>
      <tableStyleElement type="headerRow" dxfId="20636"/>
    </tableStyle>
  </tableStyles>
  <colors>
    <mruColors>
      <color rgb="FFFDFDFD"/>
      <color rgb="FFF6F6F6"/>
      <color rgb="FFE8E9EC"/>
      <color rgb="FFECCD59"/>
      <color rgb="FFEFEFF4"/>
      <color rgb="FF48515F"/>
      <color rgb="FFCF5C4A"/>
      <color rgb="FFFAFAFA"/>
      <color rgb="FFFAF4DF"/>
      <color rgb="FFFAF9F9"/>
    </mruColors>
  </colors>
  <extLst>
    <ext xmlns:x14="http://schemas.microsoft.com/office/spreadsheetml/2009/9/main" uri="{46F421CA-312F-682f-3DD2-61675219B42D}">
      <x14:dxfs count="7">
        <dxf>
          <font>
            <b/>
            <i val="0"/>
            <sz val="11"/>
            <color theme="0"/>
            <name val="Arial"/>
            <family val="2"/>
            <scheme val="none"/>
          </font>
        </dxf>
        <dxf>
          <font>
            <b/>
            <i val="0"/>
            <sz val="12"/>
            <color theme="0"/>
            <name val="Abadi"/>
            <family val="2"/>
            <scheme val="none"/>
          </font>
          <fill>
            <gradientFill degree="90">
              <stop position="0">
                <color rgb="FFECCD59"/>
              </stop>
              <stop position="1">
                <color rgb="FFECCD59"/>
              </stop>
            </gradientFill>
          </fill>
        </dxf>
        <dxf>
          <font>
            <b/>
            <i val="0"/>
            <sz val="12"/>
            <color theme="0"/>
            <name val="Calibri"/>
            <family val="2"/>
            <scheme val="minor"/>
          </font>
          <fill>
            <gradientFill degree="90">
              <stop position="0">
                <color rgb="FFECCD59"/>
              </stop>
              <stop position="1">
                <color rgb="FFECCD59"/>
              </stop>
            </gradientFill>
          </fill>
        </dxf>
        <dxf>
          <font>
            <b/>
            <i val="0"/>
            <sz val="11"/>
            <color theme="0"/>
            <name val="Arial"/>
            <family val="2"/>
            <scheme val="none"/>
          </font>
          <fill>
            <patternFill>
              <bgColor theme="0"/>
            </patternFill>
          </fill>
        </dxf>
        <dxf>
          <font>
            <b/>
            <i val="0"/>
            <sz val="12"/>
            <color theme="1" tint="0.499984740745262"/>
            <name val="Abadi"/>
            <family val="2"/>
            <scheme val="none"/>
          </font>
          <fill>
            <patternFill patternType="solid">
              <fgColor auto="1"/>
              <bgColor theme="0" tint="-4.9989318521683403E-2"/>
            </patternFill>
          </fill>
          <border diagonalUp="0" diagonalDown="0">
            <left/>
            <right/>
            <top/>
            <bottom/>
            <vertical/>
            <horizontal/>
          </border>
        </dxf>
        <dxf>
          <font>
            <b val="0"/>
            <i val="0"/>
            <sz val="11"/>
            <color theme="9" tint="-0.499984740745262"/>
            <name val="Calibri"/>
            <family val="2"/>
            <scheme val="minor"/>
          </font>
          <fill>
            <patternFill>
              <bgColor theme="0" tint="-4.9989318521683403E-2"/>
            </patternFill>
          </fill>
        </dxf>
        <dxf>
          <font>
            <b/>
            <i val="0"/>
            <sz val="12"/>
            <color theme="0" tint="-0.34998626667073579"/>
            <name val="Abadi"/>
            <family val="2"/>
            <scheme val="none"/>
          </font>
          <fill>
            <patternFill patternType="solid">
              <bgColor theme="0"/>
            </patternFill>
          </fill>
        </dxf>
      </x14:dxfs>
    </ext>
    <ext xmlns:x14="http://schemas.microsoft.com/office/spreadsheetml/2009/9/main" uri="{EB79DEF2-80B8-43e5-95BD-54CBDDF9020C}">
      <x14:slicerStyles defaultSlicerStyle="SlicerStyleLight1">
        <x14:slicerStyle name="Slicer Style 1 2 3">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[Fleet Management Transportation &amp; Logistics.xlsx]Pivottables!PivotTable3</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Pivottables!$L$4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33-4C0C-9305-87B349F2AD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33-4C0C-9305-87B349F2AD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33-4C0C-9305-87B349F2ADF6}"/>
              </c:ext>
            </c:extLst>
          </c:dPt>
          <c:cat>
            <c:strRef>
              <c:f>Pivottables!$K$5:$K$8</c:f>
              <c:strCache>
                <c:ptCount val="3"/>
                <c:pt idx="0">
                  <c:v>Close</c:v>
                </c:pt>
                <c:pt idx="1">
                  <c:v>Far</c:v>
                </c:pt>
                <c:pt idx="2">
                  <c:v>Regular</c:v>
                </c:pt>
              </c:strCache>
            </c:strRef>
          </c:cat>
          <c:val>
            <c:numRef>
              <c:f>Pivottables!$L$5:$L$8</c:f>
              <c:numCache>
                <c:formatCode>General</c:formatCode>
                <c:ptCount val="3"/>
                <c:pt idx="0">
                  <c:v>16</c:v>
                </c:pt>
                <c:pt idx="1">
                  <c:v>6</c:v>
                </c:pt>
                <c:pt idx="2">
                  <c:v>2</c:v>
                </c:pt>
              </c:numCache>
            </c:numRef>
          </c:val>
          <c:extLst>
            <c:ext xmlns:c16="http://schemas.microsoft.com/office/drawing/2014/chart" uri="{C3380CC4-5D6E-409C-BE32-E72D297353CC}">
              <c16:uniqueId val="{00000006-1333-4C0C-9305-87B349F2ADF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[Fleet Management Transportation &amp; Logistics.xlsx]Pivottables!PivotTable4</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851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CCD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851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CCD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851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CCD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Pivottables!$T$4</c:f>
              <c:strCache>
                <c:ptCount val="1"/>
                <c:pt idx="0">
                  <c:v>Sum of Driver wage/trip</c:v>
                </c:pt>
              </c:strCache>
            </c:strRef>
          </c:tx>
          <c:spPr>
            <a:solidFill>
              <a:srgbClr val="4851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Pivottables!$S$5:$S$8</c:f>
              <c:strCache>
                <c:ptCount val="3"/>
                <c:pt idx="0">
                  <c:v>Close</c:v>
                </c:pt>
                <c:pt idx="1">
                  <c:v>Far</c:v>
                </c:pt>
                <c:pt idx="2">
                  <c:v>Regular</c:v>
                </c:pt>
              </c:strCache>
            </c:strRef>
          </c:cat>
          <c:val>
            <c:numRef>
              <c:f>Pivottables!$T$5:$T$8</c:f>
              <c:numCache>
                <c:formatCode>_(* #,##0_);_(* \(#,##0\);_(* "-"_);_(@_)</c:formatCode>
                <c:ptCount val="3"/>
                <c:pt idx="0">
                  <c:v>6400</c:v>
                </c:pt>
                <c:pt idx="1">
                  <c:v>4000</c:v>
                </c:pt>
                <c:pt idx="2">
                  <c:v>800</c:v>
                </c:pt>
              </c:numCache>
            </c:numRef>
          </c:val>
          <c:extLst>
            <c:ext xmlns:c16="http://schemas.microsoft.com/office/drawing/2014/chart" uri="{C3380CC4-5D6E-409C-BE32-E72D297353CC}">
              <c16:uniqueId val="{00000000-67E4-49DF-8D69-BF16470DD8DC}"/>
            </c:ext>
          </c:extLst>
        </c:ser>
        <c:ser>
          <c:idx val="1"/>
          <c:order val="1"/>
          <c:tx>
            <c:strRef>
              <c:f>Pivottables!$U$4</c:f>
              <c:strCache>
                <c:ptCount val="1"/>
                <c:pt idx="0">
                  <c:v>Sum of Buddy wage/trip</c:v>
                </c:pt>
              </c:strCache>
            </c:strRef>
          </c:tx>
          <c:spPr>
            <a:solidFill>
              <a:srgbClr val="ECCD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Pivottables!$S$5:$S$8</c:f>
              <c:strCache>
                <c:ptCount val="3"/>
                <c:pt idx="0">
                  <c:v>Close</c:v>
                </c:pt>
                <c:pt idx="1">
                  <c:v>Far</c:v>
                </c:pt>
                <c:pt idx="2">
                  <c:v>Regular</c:v>
                </c:pt>
              </c:strCache>
            </c:strRef>
          </c:cat>
          <c:val>
            <c:numRef>
              <c:f>Pivottables!$U$5:$U$8</c:f>
              <c:numCache>
                <c:formatCode>_(* #,##0_);_(* \(#,##0\);_(* "-"_);_(@_)</c:formatCode>
                <c:ptCount val="3"/>
                <c:pt idx="0">
                  <c:v>3100</c:v>
                </c:pt>
                <c:pt idx="1">
                  <c:v>600</c:v>
                </c:pt>
                <c:pt idx="2">
                  <c:v>200</c:v>
                </c:pt>
              </c:numCache>
            </c:numRef>
          </c:val>
          <c:extLst>
            <c:ext xmlns:c16="http://schemas.microsoft.com/office/drawing/2014/chart" uri="{C3380CC4-5D6E-409C-BE32-E72D297353CC}">
              <c16:uniqueId val="{00000001-67E4-49DF-8D69-BF16470DD8DC}"/>
            </c:ext>
          </c:extLst>
        </c:ser>
        <c:dLbls>
          <c:dLblPos val="outEnd"/>
          <c:showLegendKey val="0"/>
          <c:showVal val="1"/>
          <c:showCatName val="0"/>
          <c:showSerName val="0"/>
          <c:showPercent val="0"/>
          <c:showBubbleSize val="0"/>
        </c:dLbls>
        <c:gapWidth val="129"/>
        <c:overlap val="-40"/>
        <c:axId val="1736635072"/>
        <c:axId val="1736622592"/>
      </c:barChart>
      <c:catAx>
        <c:axId val="17366350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3"/>
                </a:solidFill>
                <a:latin typeface="Abadi" panose="020B0604020104020204" pitchFamily="34" charset="0"/>
                <a:ea typeface="+mn-ea"/>
                <a:cs typeface="+mn-cs"/>
              </a:defRPr>
            </a:pPr>
            <a:endParaRPr lang="en-US"/>
          </a:p>
        </c:txPr>
        <c:crossAx val="1736622592"/>
        <c:crosses val="autoZero"/>
        <c:auto val="1"/>
        <c:lblAlgn val="ctr"/>
        <c:lblOffset val="100"/>
        <c:noMultiLvlLbl val="0"/>
      </c:catAx>
      <c:valAx>
        <c:axId val="1736622592"/>
        <c:scaling>
          <c:orientation val="minMax"/>
        </c:scaling>
        <c:delete val="1"/>
        <c:axPos val="l"/>
        <c:numFmt formatCode="_(* #,##0_);_(* \(#,##0\);_(* &quot;-&quot;_);_(@_)" sourceLinked="1"/>
        <c:majorTickMark val="none"/>
        <c:minorTickMark val="none"/>
        <c:tickLblPos val="nextTo"/>
        <c:crossAx val="17366350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[Fleet Management Transportation &amp; Logistics.xlsx]Pivottables!PivotTable5</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c:spPr>
      </c:pivotFmt>
      <c:pivotFmt>
        <c:idx val="4"/>
        <c:spPr>
          <a:solidFill>
            <a:srgbClr val="CF5C4A"/>
          </a:solidFill>
          <a:ln>
            <a:noFill/>
          </a:ln>
          <a:effectLst/>
        </c:spPr>
      </c:pivotFmt>
    </c:pivotFmts>
    <c:plotArea>
      <c:layout/>
      <c:barChart>
        <c:barDir val="bar"/>
        <c:grouping val="clustered"/>
        <c:varyColors val="0"/>
        <c:ser>
          <c:idx val="0"/>
          <c:order val="0"/>
          <c:tx>
            <c:strRef>
              <c:f>Pivottables!$Y$4</c:f>
              <c:strCache>
                <c:ptCount val="1"/>
                <c:pt idx="0">
                  <c:v>Total</c:v>
                </c:pt>
              </c:strCache>
            </c:strRef>
          </c:tx>
          <c:spPr>
            <a:solidFill>
              <a:schemeClr val="accent1"/>
            </a:solidFill>
            <a:ln>
              <a:noFill/>
            </a:ln>
            <a:effectLst/>
          </c:spPr>
          <c:invertIfNegative val="0"/>
          <c:dPt>
            <c:idx val="0"/>
            <c:invertIfNegative val="0"/>
            <c:bubble3D val="0"/>
            <c:spPr>
              <a:solidFill>
                <a:srgbClr val="CF5C4A"/>
              </a:solidFill>
              <a:ln>
                <a:noFill/>
              </a:ln>
              <a:effectLst/>
            </c:spPr>
            <c:extLst>
              <c:ext xmlns:c16="http://schemas.microsoft.com/office/drawing/2014/chart" uri="{C3380CC4-5D6E-409C-BE32-E72D297353CC}">
                <c16:uniqueId val="{00000002-2A2A-488A-A290-73CF00E32565}"/>
              </c:ext>
            </c:extLst>
          </c:dPt>
          <c:dPt>
            <c:idx val="1"/>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1-2A2A-488A-A290-73CF00E32565}"/>
              </c:ext>
            </c:extLst>
          </c:dPt>
          <c:cat>
            <c:strRef>
              <c:f>Pivottables!$X$5:$X$7</c:f>
              <c:strCache>
                <c:ptCount val="2"/>
                <c:pt idx="0">
                  <c:v>Woodchip</c:v>
                </c:pt>
                <c:pt idx="1">
                  <c:v>Woodpellet</c:v>
                </c:pt>
              </c:strCache>
            </c:strRef>
          </c:cat>
          <c:val>
            <c:numRef>
              <c:f>Pivottables!$Y$5:$Y$7</c:f>
              <c:numCache>
                <c:formatCode>_(* #,##0_);_(* \(#,##0\);_(* "-"_);_(@_)</c:formatCode>
                <c:ptCount val="2"/>
                <c:pt idx="0">
                  <c:v>12</c:v>
                </c:pt>
                <c:pt idx="1">
                  <c:v>12</c:v>
                </c:pt>
              </c:numCache>
            </c:numRef>
          </c:val>
          <c:extLst>
            <c:ext xmlns:c16="http://schemas.microsoft.com/office/drawing/2014/chart" uri="{C3380CC4-5D6E-409C-BE32-E72D297353CC}">
              <c16:uniqueId val="{00000000-2A2A-488A-A290-73CF00E32565}"/>
            </c:ext>
          </c:extLst>
        </c:ser>
        <c:dLbls>
          <c:showLegendKey val="0"/>
          <c:showVal val="0"/>
          <c:showCatName val="0"/>
          <c:showSerName val="0"/>
          <c:showPercent val="0"/>
          <c:showBubbleSize val="0"/>
        </c:dLbls>
        <c:gapWidth val="155"/>
        <c:axId val="1591389248"/>
        <c:axId val="1591390208"/>
      </c:barChart>
      <c:catAx>
        <c:axId val="159138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1591390208"/>
        <c:crosses val="autoZero"/>
        <c:auto val="1"/>
        <c:lblAlgn val="ctr"/>
        <c:lblOffset val="100"/>
        <c:noMultiLvlLbl val="0"/>
      </c:catAx>
      <c:valAx>
        <c:axId val="159139020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159138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CF5C4A"/>
              </a:solidFill>
              <a:ln w="19050">
                <a:solidFill>
                  <a:schemeClr val="lt1"/>
                </a:solidFill>
              </a:ln>
              <a:effectLst/>
            </c:spPr>
            <c:extLst>
              <c:ext xmlns:c16="http://schemas.microsoft.com/office/drawing/2014/chart" uri="{C3380CC4-5D6E-409C-BE32-E72D297353CC}">
                <c16:uniqueId val="{00000001-5CAD-4712-BC8C-8F13C487C483}"/>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5CAD-4712-BC8C-8F13C487C483}"/>
              </c:ext>
            </c:extLst>
          </c:dPt>
          <c:cat>
            <c:strRef>
              <c:f>Pivottables!$AF$4:$AF$5</c:f>
              <c:strCache>
                <c:ptCount val="2"/>
                <c:pt idx="0">
                  <c:v>Salaries</c:v>
                </c:pt>
                <c:pt idx="1">
                  <c:v>Wages</c:v>
                </c:pt>
              </c:strCache>
            </c:strRef>
          </c:cat>
          <c:val>
            <c:numRef>
              <c:f>Pivottables!$AG$4:$AG$5</c:f>
              <c:numCache>
                <c:formatCode>General</c:formatCode>
                <c:ptCount val="2"/>
                <c:pt idx="0">
                  <c:v>12100</c:v>
                </c:pt>
                <c:pt idx="1">
                  <c:v>15100</c:v>
                </c:pt>
              </c:numCache>
            </c:numRef>
          </c:val>
          <c:extLst>
            <c:ext xmlns:c16="http://schemas.microsoft.com/office/drawing/2014/chart" uri="{C3380CC4-5D6E-409C-BE32-E72D297353CC}">
              <c16:uniqueId val="{00000004-5CAD-4712-BC8C-8F13C487C483}"/>
            </c:ext>
          </c:extLst>
        </c:ser>
        <c:dLbls>
          <c:showLegendKey val="0"/>
          <c:showVal val="0"/>
          <c:showCatName val="0"/>
          <c:showSerName val="0"/>
          <c:showPercent val="0"/>
          <c:showBubbleSize val="0"/>
          <c:showLeaderLines val="1"/>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CF5C4A"/>
              </a:solidFill>
              <a:ln w="19050">
                <a:solidFill>
                  <a:schemeClr val="lt1"/>
                </a:solidFill>
              </a:ln>
              <a:effectLst/>
            </c:spPr>
            <c:extLst>
              <c:ext xmlns:c16="http://schemas.microsoft.com/office/drawing/2014/chart" uri="{C3380CC4-5D6E-409C-BE32-E72D297353CC}">
                <c16:uniqueId val="{00000001-3862-456E-8860-3A51DEAC0690}"/>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3862-456E-8860-3A51DEAC0690}"/>
              </c:ext>
            </c:extLst>
          </c:dPt>
          <c:cat>
            <c:strRef>
              <c:f>Pivottables!$AL$4:$AL$5</c:f>
              <c:strCache>
                <c:ptCount val="2"/>
                <c:pt idx="0">
                  <c:v>Wages</c:v>
                </c:pt>
                <c:pt idx="1">
                  <c:v>Salaries</c:v>
                </c:pt>
              </c:strCache>
            </c:strRef>
          </c:cat>
          <c:val>
            <c:numRef>
              <c:f>Pivottables!$AM$4:$AM$5</c:f>
              <c:numCache>
                <c:formatCode>General</c:formatCode>
                <c:ptCount val="2"/>
                <c:pt idx="0">
                  <c:v>15100</c:v>
                </c:pt>
                <c:pt idx="1">
                  <c:v>12100</c:v>
                </c:pt>
              </c:numCache>
            </c:numRef>
          </c:val>
          <c:extLst>
            <c:ext xmlns:c16="http://schemas.microsoft.com/office/drawing/2014/chart" uri="{C3380CC4-5D6E-409C-BE32-E72D297353CC}">
              <c16:uniqueId val="{00000004-3862-456E-8860-3A51DEAC0690}"/>
            </c:ext>
          </c:extLst>
        </c:ser>
        <c:dLbls>
          <c:showLegendKey val="0"/>
          <c:showVal val="0"/>
          <c:showCatName val="0"/>
          <c:showSerName val="0"/>
          <c:showPercent val="0"/>
          <c:showBubbleSize val="0"/>
          <c:showLeaderLines val="1"/>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[Fleet Management Transportation &amp; Logistics.xlsx]Pivottables!PivotTable11</c:name>
    <c:fmtId val="44"/>
  </c:pivotSource>
  <c:chart>
    <c:autoTitleDeleted val="1"/>
    <c:pivotFmts>
      <c:pivotFmt>
        <c:idx val="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Pivottables!$AQ$4</c:f>
              <c:strCache>
                <c:ptCount val="1"/>
                <c:pt idx="0">
                  <c:v>Total</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Pivottables!$AP$5:$AP$17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Pivottables!$AQ$5:$AQ$17</c:f>
              <c:numCache>
                <c:formatCode>_(* #,##0_);_(* \(#,##0\);_(* "-"_);_(@_)</c:formatCode>
                <c:ptCount val="12"/>
                <c:pt idx="0">
                  <c:v>3200</c:v>
                </c:pt>
                <c:pt idx="1">
                  <c:v>2000</c:v>
                </c:pt>
                <c:pt idx="2">
                  <c:v>4000</c:v>
                </c:pt>
                <c:pt idx="3">
                  <c:v>1000</c:v>
                </c:pt>
                <c:pt idx="4">
                  <c:v>1400</c:v>
                </c:pt>
                <c:pt idx="5">
                  <c:v>3600</c:v>
                </c:pt>
                <c:pt idx="6">
                  <c:v>2200</c:v>
                </c:pt>
                <c:pt idx="7">
                  <c:v>2500</c:v>
                </c:pt>
                <c:pt idx="8">
                  <c:v>1000</c:v>
                </c:pt>
                <c:pt idx="9">
                  <c:v>3700</c:v>
                </c:pt>
                <c:pt idx="10">
                  <c:v>1600</c:v>
                </c:pt>
                <c:pt idx="11">
                  <c:v>1000</c:v>
                </c:pt>
              </c:numCache>
            </c:numRef>
          </c:val>
          <c:extLst>
            <c:ext xmlns:c16="http://schemas.microsoft.com/office/drawing/2014/chart" uri="{C3380CC4-5D6E-409C-BE32-E72D297353CC}">
              <c16:uniqueId val="{00000000-CE37-4715-A2DC-344F31E62AAE}"/>
            </c:ext>
          </c:extLst>
        </c:ser>
        <c:dLbls>
          <c:showLegendKey val="0"/>
          <c:showVal val="1"/>
          <c:showCatName val="0"/>
          <c:showSerName val="0"/>
          <c:showPercent val="0"/>
          <c:showBubbleSize val="0"/>
        </c:dLbls>
        <c:gapWidth val="85"/>
        <c:axId val="1631920016"/>
        <c:axId val="1631916656"/>
      </c:barChart>
      <c:catAx>
        <c:axId val="16319200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rgbClr val="48515F"/>
                </a:solidFill>
                <a:latin typeface="Abadi" panose="020B0604020104020204" pitchFamily="34" charset="0"/>
                <a:ea typeface="+mn-ea"/>
                <a:cs typeface="+mn-cs"/>
              </a:defRPr>
            </a:pPr>
            <a:endParaRPr lang="en-US"/>
          </a:p>
        </c:txPr>
        <c:crossAx val="1631916656"/>
        <c:crosses val="autoZero"/>
        <c:auto val="1"/>
        <c:lblAlgn val="ctr"/>
        <c:lblOffset val="100"/>
        <c:noMultiLvlLbl val="0"/>
      </c:catAx>
      <c:valAx>
        <c:axId val="1631916656"/>
        <c:scaling>
          <c:orientation val="minMax"/>
        </c:scaling>
        <c:delete val="1"/>
        <c:axPos val="l"/>
        <c:numFmt formatCode="_(* #,##0_);_(* \(#,##0\);_(* &quot;-&quot;_);_(@_)" sourceLinked="1"/>
        <c:majorTickMark val="none"/>
        <c:minorTickMark val="none"/>
        <c:tickLblPos val="nextTo"/>
        <c:crossAx val="16319200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[Fleet Management Transportation &amp; Logistics.xlsx]Pivottables!PivotTable8</c:name>
    <c:fmtId val="57"/>
  </c:pivotSource>
  <c:chart>
    <c:autoTitleDeleted val="1"/>
    <c:pivotFmts>
      <c:pivotFmt>
        <c:idx val="0"/>
        <c:spPr>
          <a:solidFill>
            <a:schemeClr val="accent1"/>
          </a:solidFill>
          <a:ln w="28575" cap="rnd">
            <a:solidFill>
              <a:schemeClr val="accent2"/>
            </a:solidFill>
            <a:round/>
          </a:ln>
          <a:effectLst>
            <a:outerShdw blurRad="50800" dist="50800" algn="ctr" rotWithShape="0">
              <a:srgbClr val="000000">
                <a:alpha val="43137"/>
              </a:srgbClr>
            </a:outerShdw>
            <a:softEdge rad="0"/>
          </a:effectLst>
        </c:spPr>
        <c:marker>
          <c:symbol val="circle"/>
          <c:size val="5"/>
          <c:spPr>
            <a:solidFill>
              <a:schemeClr val="accent1"/>
            </a:solidFill>
            <a:ln w="9525">
              <a:solidFill>
                <a:srgbClr val="FF0000"/>
              </a:solidFill>
            </a:ln>
            <a:effectLst>
              <a:outerShdw blurRad="50800" dist="50800"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a:outerShdw blurRad="50800" dist="50800" algn="ctr" rotWithShape="0">
              <a:srgbClr val="000000">
                <a:alpha val="43137"/>
              </a:srgbClr>
            </a:outerShdw>
            <a:softEdge rad="0"/>
          </a:effectLst>
        </c:spPr>
        <c:marker>
          <c:symbol val="circle"/>
          <c:size val="5"/>
          <c:spPr>
            <a:solidFill>
              <a:schemeClr val="accent1"/>
            </a:solidFill>
            <a:ln w="9525">
              <a:solidFill>
                <a:srgbClr val="FF0000"/>
              </a:solidFill>
            </a:ln>
            <a:effectLst>
              <a:outerShdw blurRad="50800" dist="50800" algn="ctr" rotWithShape="0">
                <a:srgbClr val="000000">
                  <a:alpha val="43137"/>
                </a:srgbClr>
              </a:outerShdw>
              <a:softEdge rad="0"/>
            </a:effectLst>
          </c:spPr>
        </c:marker>
      </c:pivotFmt>
      <c:pivotFmt>
        <c:idx val="2"/>
        <c:spPr>
          <a:solidFill>
            <a:schemeClr val="accent1"/>
          </a:solidFill>
          <a:ln w="28575" cap="rnd">
            <a:solidFill>
              <a:schemeClr val="accent2"/>
            </a:solidFill>
            <a:round/>
          </a:ln>
          <a:effectLst>
            <a:outerShdw blurRad="50800" dist="50800" algn="ctr" rotWithShape="0">
              <a:srgbClr val="000000">
                <a:alpha val="43137"/>
              </a:srgbClr>
            </a:outerShdw>
            <a:softEdge rad="0"/>
          </a:effectLst>
        </c:spPr>
        <c:marker>
          <c:symbol val="circle"/>
          <c:size val="5"/>
          <c:spPr>
            <a:solidFill>
              <a:schemeClr val="accent1"/>
            </a:solidFill>
            <a:ln w="9525">
              <a:solidFill>
                <a:srgbClr val="FF0000"/>
              </a:solidFill>
            </a:ln>
            <a:effectLst>
              <a:outerShdw blurRad="50800" dist="50800" algn="ctr" rotWithShape="0">
                <a:srgbClr val="000000">
                  <a:alpha val="43137"/>
                </a:srgbClr>
              </a:outerShdw>
              <a:softEdge rad="0"/>
            </a:effectLst>
          </c:spPr>
        </c:marker>
      </c:pivotFmt>
      <c:pivotFmt>
        <c:idx val="3"/>
        <c:spPr>
          <a:solidFill>
            <a:schemeClr val="accent1"/>
          </a:solidFill>
          <a:ln w="28575" cap="rnd">
            <a:solidFill>
              <a:schemeClr val="accent2"/>
            </a:solidFill>
            <a:round/>
          </a:ln>
          <a:effectLst>
            <a:outerShdw blurRad="50800" dist="50800" algn="ctr" rotWithShape="0">
              <a:srgbClr val="000000">
                <a:alpha val="43137"/>
              </a:srgbClr>
            </a:outerShdw>
            <a:softEdge rad="0"/>
          </a:effectLst>
        </c:spPr>
        <c:marker>
          <c:symbol val="circle"/>
          <c:size val="5"/>
          <c:spPr>
            <a:solidFill>
              <a:schemeClr val="accent1"/>
            </a:solidFill>
            <a:ln w="9525">
              <a:solidFill>
                <a:srgbClr val="FF0000"/>
              </a:solidFill>
            </a:ln>
            <a:effectLst>
              <a:outerShdw blurRad="50800" dist="50800"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a:outerShdw blurRad="50800" dist="50800" algn="ctr" rotWithShape="0">
              <a:srgbClr val="000000">
                <a:alpha val="43137"/>
              </a:srgbClr>
            </a:outerShdw>
            <a:softEdge rad="0"/>
          </a:effectLst>
        </c:spPr>
        <c:marker>
          <c:symbol val="circle"/>
          <c:size val="5"/>
          <c:spPr>
            <a:solidFill>
              <a:srgbClr val="FF0000"/>
            </a:solidFill>
            <a:ln w="9525">
              <a:solidFill>
                <a:srgbClr val="FF0000"/>
              </a:solidFill>
            </a:ln>
            <a:effectLst>
              <a:outerShdw blurRad="50800" dist="50800" algn="ctr" rotWithShape="0">
                <a:srgbClr val="000000">
                  <a:alpha val="43137"/>
                </a:srgbClr>
              </a:outerShdw>
              <a:softEdge rad="0"/>
            </a:effectLst>
          </c:spPr>
        </c:marker>
      </c:pivotFmt>
      <c:pivotFmt>
        <c:idx val="5"/>
        <c:spPr>
          <a:ln w="28575" cap="rnd">
            <a:solidFill>
              <a:schemeClr val="accent2"/>
            </a:solidFill>
            <a:round/>
          </a:ln>
          <a:effectLst>
            <a:outerShdw blurRad="50800" dist="50800" sx="1000" sy="1000" algn="ctr" rotWithShape="0">
              <a:srgbClr val="000000">
                <a:alpha val="43137"/>
              </a:srgbClr>
            </a:outerShdw>
            <a:softEdge rad="0"/>
          </a:effectLst>
        </c:spPr>
        <c:marker>
          <c:symbol val="circle"/>
          <c:size val="5"/>
          <c:spPr>
            <a:noFill/>
            <a:ln w="9525">
              <a:noFill/>
            </a:ln>
            <a:effectLst>
              <a:outerShdw blurRad="50800" dist="50800" sx="1000" sy="1000"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a:outerShdw blurRad="50800" dist="50800" sx="1000" sy="1000" algn="ctr" rotWithShape="0">
              <a:srgbClr val="000000">
                <a:alpha val="43137"/>
              </a:srgbClr>
            </a:outerShdw>
            <a:softEdge rad="0"/>
          </a:effectLst>
        </c:spPr>
        <c:marker>
          <c:symbol val="circle"/>
          <c:size val="5"/>
        </c:marker>
      </c:pivotFmt>
    </c:pivotFmts>
    <c:plotArea>
      <c:layout>
        <c:manualLayout>
          <c:layoutTarget val="inner"/>
          <c:xMode val="edge"/>
          <c:yMode val="edge"/>
          <c:x val="2.5717107364063321E-2"/>
          <c:y val="8.3534142584042723E-2"/>
          <c:w val="0.94342236379906075"/>
          <c:h val="0.67143268571664827"/>
        </c:manualLayout>
      </c:layout>
      <c:lineChart>
        <c:grouping val="standard"/>
        <c:varyColors val="0"/>
        <c:ser>
          <c:idx val="0"/>
          <c:order val="0"/>
          <c:tx>
            <c:strRef>
              <c:f>Pivottables!$BB$4</c:f>
              <c:strCache>
                <c:ptCount val="1"/>
                <c:pt idx="0">
                  <c:v>Total</c:v>
                </c:pt>
              </c:strCache>
            </c:strRef>
          </c:tx>
          <c:spPr>
            <a:ln w="28575" cap="rnd">
              <a:solidFill>
                <a:schemeClr val="accent2"/>
              </a:solidFill>
              <a:round/>
            </a:ln>
            <a:effectLst>
              <a:outerShdw blurRad="50800" dist="50800" sx="1000" sy="1000" algn="ctr" rotWithShape="0">
                <a:srgbClr val="000000">
                  <a:alpha val="43137"/>
                </a:srgbClr>
              </a:outerShdw>
              <a:softEdge rad="0"/>
            </a:effectLst>
          </c:spPr>
          <c:marker>
            <c:symbol val="circle"/>
            <c:size val="5"/>
            <c:spPr>
              <a:noFill/>
              <a:ln w="9525">
                <a:noFill/>
              </a:ln>
              <a:effectLst>
                <a:outerShdw blurRad="50800" dist="50800" sx="1000" sy="1000" algn="ctr" rotWithShape="0">
                  <a:srgbClr val="000000">
                    <a:alpha val="43137"/>
                  </a:srgbClr>
                </a:outerShdw>
                <a:softEdge rad="0"/>
              </a:effectLst>
            </c:spPr>
          </c:marker>
          <c:dPt>
            <c:idx val="3"/>
            <c:marker>
              <c:symbol val="circle"/>
              <c:size val="5"/>
              <c:spPr>
                <a:noFill/>
                <a:ln w="9525">
                  <a:noFill/>
                </a:ln>
                <a:effectLst>
                  <a:outerShdw blurRad="50800" dist="50800" sx="1000" sy="1000" algn="ctr" rotWithShape="0">
                    <a:srgbClr val="000000">
                      <a:alpha val="43137"/>
                    </a:srgbClr>
                  </a:outerShdw>
                  <a:softEdge rad="0"/>
                </a:effectLst>
              </c:spPr>
            </c:marker>
            <c:bubble3D val="0"/>
            <c:extLst>
              <c:ext xmlns:c16="http://schemas.microsoft.com/office/drawing/2014/chart" uri="{C3380CC4-5D6E-409C-BE32-E72D297353CC}">
                <c16:uniqueId val="{00000000-F5C4-4D63-9956-53F4ADE8205E}"/>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Pivottables!$BA$5:$BA$17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Pivottables!$BB$5:$BB$17</c:f>
              <c:numCache>
                <c:formatCode>_(* #,##0_);_(* \(#,##0\);_(* "-"_);_(@_)</c:formatCode>
                <c:ptCount val="12"/>
                <c:pt idx="0">
                  <c:v>14</c:v>
                </c:pt>
                <c:pt idx="1">
                  <c:v>16</c:v>
                </c:pt>
                <c:pt idx="2">
                  <c:v>51</c:v>
                </c:pt>
                <c:pt idx="3">
                  <c:v>4</c:v>
                </c:pt>
                <c:pt idx="4">
                  <c:v>5</c:v>
                </c:pt>
                <c:pt idx="5">
                  <c:v>24</c:v>
                </c:pt>
                <c:pt idx="6">
                  <c:v>26</c:v>
                </c:pt>
                <c:pt idx="7">
                  <c:v>49</c:v>
                </c:pt>
                <c:pt idx="8">
                  <c:v>9</c:v>
                </c:pt>
                <c:pt idx="9">
                  <c:v>79</c:v>
                </c:pt>
                <c:pt idx="10">
                  <c:v>11</c:v>
                </c:pt>
                <c:pt idx="11">
                  <c:v>12</c:v>
                </c:pt>
              </c:numCache>
            </c:numRef>
          </c:val>
          <c:smooth val="1"/>
          <c:extLst>
            <c:ext xmlns:c16="http://schemas.microsoft.com/office/drawing/2014/chart" uri="{C3380CC4-5D6E-409C-BE32-E72D297353CC}">
              <c16:uniqueId val="{00000001-F5C4-4D63-9956-53F4ADE8205E}"/>
            </c:ext>
          </c:extLst>
        </c:ser>
        <c:dLbls>
          <c:dLblPos val="t"/>
          <c:showLegendKey val="0"/>
          <c:showVal val="1"/>
          <c:showCatName val="0"/>
          <c:showSerName val="0"/>
          <c:showPercent val="0"/>
          <c:showBubbleSize val="0"/>
        </c:dLbls>
        <c:marker val="1"/>
        <c:smooth val="0"/>
        <c:axId val="929811376"/>
        <c:axId val="929801296"/>
      </c:lineChart>
      <c:catAx>
        <c:axId val="9298113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929801296"/>
        <c:crosses val="autoZero"/>
        <c:auto val="1"/>
        <c:lblAlgn val="ctr"/>
        <c:lblOffset val="100"/>
        <c:noMultiLvlLbl val="0"/>
      </c:catAx>
      <c:valAx>
        <c:axId val="929801296"/>
        <c:scaling>
          <c:orientation val="minMax"/>
        </c:scaling>
        <c:delete val="1"/>
        <c:axPos val="l"/>
        <c:numFmt formatCode="_(* #,##0_);_(* \(#,##0\);_(* &quot;-&quot;_);_(@_)" sourceLinked="1"/>
        <c:majorTickMark val="none"/>
        <c:minorTickMark val="none"/>
        <c:tickLblPos val="nextTo"/>
        <c:crossAx val="9298113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[Fleet Management Transportation &amp; Logistics.xlsx]Pivottables!PivotTable10</c:name>
    <c:fmtId val="6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Pivottables!$BE$4:$BE$5</c:f>
              <c:strCache>
                <c:ptCount val="1"/>
                <c:pt idx="0">
                  <c:v>Gidec</c:v>
                </c:pt>
              </c:strCache>
            </c:strRef>
          </c:tx>
          <c:spPr>
            <a:solidFill>
              <a:schemeClr val="accent1"/>
            </a:solidFill>
            <a:ln>
              <a:noFill/>
            </a:ln>
            <a:effectLst/>
            <a:sp3d/>
          </c:spPr>
          <c:invertIfNegative val="0"/>
          <c:cat>
            <c:strRef>
              <c:f>Pivottables!$BD$6:$BD$15</c:f>
              <c:strCache>
                <c:ptCount val="9"/>
                <c:pt idx="0">
                  <c:v>Air Port</c:v>
                </c:pt>
                <c:pt idx="1">
                  <c:v>Alex</c:v>
                </c:pt>
                <c:pt idx="2">
                  <c:v>Gidec</c:v>
                </c:pt>
                <c:pt idx="3">
                  <c:v>Giza</c:v>
                </c:pt>
                <c:pt idx="4">
                  <c:v>Port Said</c:v>
                </c:pt>
                <c:pt idx="5">
                  <c:v>PT</c:v>
                </c:pt>
                <c:pt idx="6">
                  <c:v>Safeskin</c:v>
                </c:pt>
                <c:pt idx="7">
                  <c:v>Top glove</c:v>
                </c:pt>
                <c:pt idx="8">
                  <c:v>Xunthai</c:v>
                </c:pt>
              </c:strCache>
            </c:strRef>
          </c:cat>
          <c:val>
            <c:numRef>
              <c:f>Pivottables!$BE$6:$BE$15</c:f>
              <c:numCache>
                <c:formatCode>_(* #,##0_);_(* \(#,##0\);_(* "-"_);_(@_)</c:formatCode>
                <c:ptCount val="9"/>
                <c:pt idx="8">
                  <c:v>4</c:v>
                </c:pt>
              </c:numCache>
            </c:numRef>
          </c:val>
          <c:extLst>
            <c:ext xmlns:c16="http://schemas.microsoft.com/office/drawing/2014/chart" uri="{C3380CC4-5D6E-409C-BE32-E72D297353CC}">
              <c16:uniqueId val="{00000000-199A-4C45-BEF7-EC0A2B07EE25}"/>
            </c:ext>
          </c:extLst>
        </c:ser>
        <c:ser>
          <c:idx val="1"/>
          <c:order val="1"/>
          <c:tx>
            <c:strRef>
              <c:f>Pivottables!$BF$4:$BF$5</c:f>
              <c:strCache>
                <c:ptCount val="1"/>
                <c:pt idx="0">
                  <c:v>Mina</c:v>
                </c:pt>
              </c:strCache>
            </c:strRef>
          </c:tx>
          <c:spPr>
            <a:solidFill>
              <a:schemeClr val="accent2"/>
            </a:solidFill>
            <a:ln>
              <a:noFill/>
            </a:ln>
            <a:effectLst/>
            <a:sp3d/>
          </c:spPr>
          <c:invertIfNegative val="0"/>
          <c:cat>
            <c:strRef>
              <c:f>Pivottables!$BD$6:$BD$15</c:f>
              <c:strCache>
                <c:ptCount val="9"/>
                <c:pt idx="0">
                  <c:v>Air Port</c:v>
                </c:pt>
                <c:pt idx="1">
                  <c:v>Alex</c:v>
                </c:pt>
                <c:pt idx="2">
                  <c:v>Gidec</c:v>
                </c:pt>
                <c:pt idx="3">
                  <c:v>Giza</c:v>
                </c:pt>
                <c:pt idx="4">
                  <c:v>Port Said</c:v>
                </c:pt>
                <c:pt idx="5">
                  <c:v>PT</c:v>
                </c:pt>
                <c:pt idx="6">
                  <c:v>Safeskin</c:v>
                </c:pt>
                <c:pt idx="7">
                  <c:v>Top glove</c:v>
                </c:pt>
                <c:pt idx="8">
                  <c:v>Xunthai</c:v>
                </c:pt>
              </c:strCache>
            </c:strRef>
          </c:cat>
          <c:val>
            <c:numRef>
              <c:f>Pivottables!$BF$6:$BF$15</c:f>
              <c:numCache>
                <c:formatCode>_(* #,##0_);_(* \(#,##0\);_(* "-"_);_(@_)</c:formatCode>
                <c:ptCount val="9"/>
                <c:pt idx="6">
                  <c:v>2</c:v>
                </c:pt>
              </c:numCache>
            </c:numRef>
          </c:val>
          <c:extLst>
            <c:ext xmlns:c16="http://schemas.microsoft.com/office/drawing/2014/chart" uri="{C3380CC4-5D6E-409C-BE32-E72D297353CC}">
              <c16:uniqueId val="{00000057-199A-4C45-BEF7-EC0A2B07EE25}"/>
            </c:ext>
          </c:extLst>
        </c:ser>
        <c:ser>
          <c:idx val="2"/>
          <c:order val="2"/>
          <c:tx>
            <c:strRef>
              <c:f>Pivottables!$BG$4:$BG$5</c:f>
              <c:strCache>
                <c:ptCount val="1"/>
                <c:pt idx="0">
                  <c:v>Safeskin</c:v>
                </c:pt>
              </c:strCache>
            </c:strRef>
          </c:tx>
          <c:spPr>
            <a:solidFill>
              <a:schemeClr val="accent3"/>
            </a:solidFill>
            <a:ln>
              <a:noFill/>
            </a:ln>
            <a:effectLst/>
            <a:sp3d/>
          </c:spPr>
          <c:invertIfNegative val="0"/>
          <c:cat>
            <c:strRef>
              <c:f>Pivottables!$BD$6:$BD$15</c:f>
              <c:strCache>
                <c:ptCount val="9"/>
                <c:pt idx="0">
                  <c:v>Air Port</c:v>
                </c:pt>
                <c:pt idx="1">
                  <c:v>Alex</c:v>
                </c:pt>
                <c:pt idx="2">
                  <c:v>Gidec</c:v>
                </c:pt>
                <c:pt idx="3">
                  <c:v>Giza</c:v>
                </c:pt>
                <c:pt idx="4">
                  <c:v>Port Said</c:v>
                </c:pt>
                <c:pt idx="5">
                  <c:v>PT</c:v>
                </c:pt>
                <c:pt idx="6">
                  <c:v>Safeskin</c:v>
                </c:pt>
                <c:pt idx="7">
                  <c:v>Top glove</c:v>
                </c:pt>
                <c:pt idx="8">
                  <c:v>Xunthai</c:v>
                </c:pt>
              </c:strCache>
            </c:strRef>
          </c:cat>
          <c:val>
            <c:numRef>
              <c:f>Pivottables!$BG$6:$BG$15</c:f>
              <c:numCache>
                <c:formatCode>_(* #,##0_);_(* \(#,##0\);_(* "-"_);_(@_)</c:formatCode>
                <c:ptCount val="9"/>
                <c:pt idx="2">
                  <c:v>2</c:v>
                </c:pt>
                <c:pt idx="4">
                  <c:v>2</c:v>
                </c:pt>
                <c:pt idx="5">
                  <c:v>2</c:v>
                </c:pt>
              </c:numCache>
            </c:numRef>
          </c:val>
          <c:extLst>
            <c:ext xmlns:c16="http://schemas.microsoft.com/office/drawing/2014/chart" uri="{C3380CC4-5D6E-409C-BE32-E72D297353CC}">
              <c16:uniqueId val="{00000058-199A-4C45-BEF7-EC0A2B07EE25}"/>
            </c:ext>
          </c:extLst>
        </c:ser>
        <c:ser>
          <c:idx val="3"/>
          <c:order val="3"/>
          <c:tx>
            <c:strRef>
              <c:f>Pivottables!$BH$4:$BH$5</c:f>
              <c:strCache>
                <c:ptCount val="1"/>
                <c:pt idx="0">
                  <c:v>Suies</c:v>
                </c:pt>
              </c:strCache>
            </c:strRef>
          </c:tx>
          <c:spPr>
            <a:solidFill>
              <a:schemeClr val="accent4"/>
            </a:solidFill>
            <a:ln>
              <a:noFill/>
            </a:ln>
            <a:effectLst/>
            <a:sp3d/>
          </c:spPr>
          <c:invertIfNegative val="0"/>
          <c:cat>
            <c:strRef>
              <c:f>Pivottables!$BD$6:$BD$15</c:f>
              <c:strCache>
                <c:ptCount val="9"/>
                <c:pt idx="0">
                  <c:v>Air Port</c:v>
                </c:pt>
                <c:pt idx="1">
                  <c:v>Alex</c:v>
                </c:pt>
                <c:pt idx="2">
                  <c:v>Gidec</c:v>
                </c:pt>
                <c:pt idx="3">
                  <c:v>Giza</c:v>
                </c:pt>
                <c:pt idx="4">
                  <c:v>Port Said</c:v>
                </c:pt>
                <c:pt idx="5">
                  <c:v>PT</c:v>
                </c:pt>
                <c:pt idx="6">
                  <c:v>Safeskin</c:v>
                </c:pt>
                <c:pt idx="7">
                  <c:v>Top glove</c:v>
                </c:pt>
                <c:pt idx="8">
                  <c:v>Xunthai</c:v>
                </c:pt>
              </c:strCache>
            </c:strRef>
          </c:cat>
          <c:val>
            <c:numRef>
              <c:f>Pivottables!$BH$6:$BH$15</c:f>
              <c:numCache>
                <c:formatCode>_(* #,##0_);_(* \(#,##0\);_(* "-"_);_(@_)</c:formatCode>
                <c:ptCount val="9"/>
                <c:pt idx="2">
                  <c:v>2</c:v>
                </c:pt>
              </c:numCache>
            </c:numRef>
          </c:val>
          <c:extLst>
            <c:ext xmlns:c16="http://schemas.microsoft.com/office/drawing/2014/chart" uri="{C3380CC4-5D6E-409C-BE32-E72D297353CC}">
              <c16:uniqueId val="{00000059-199A-4C45-BEF7-EC0A2B07EE25}"/>
            </c:ext>
          </c:extLst>
        </c:ser>
        <c:ser>
          <c:idx val="4"/>
          <c:order val="4"/>
          <c:tx>
            <c:strRef>
              <c:f>Pivottables!$BI$4:$BI$5</c:f>
              <c:strCache>
                <c:ptCount val="1"/>
                <c:pt idx="0">
                  <c:v>Top glove</c:v>
                </c:pt>
              </c:strCache>
            </c:strRef>
          </c:tx>
          <c:spPr>
            <a:solidFill>
              <a:schemeClr val="accent5"/>
            </a:solidFill>
            <a:ln>
              <a:noFill/>
            </a:ln>
            <a:effectLst/>
            <a:sp3d/>
          </c:spPr>
          <c:invertIfNegative val="0"/>
          <c:cat>
            <c:strRef>
              <c:f>Pivottables!$BD$6:$BD$15</c:f>
              <c:strCache>
                <c:ptCount val="9"/>
                <c:pt idx="0">
                  <c:v>Air Port</c:v>
                </c:pt>
                <c:pt idx="1">
                  <c:v>Alex</c:v>
                </c:pt>
                <c:pt idx="2">
                  <c:v>Gidec</c:v>
                </c:pt>
                <c:pt idx="3">
                  <c:v>Giza</c:v>
                </c:pt>
                <c:pt idx="4">
                  <c:v>Port Said</c:v>
                </c:pt>
                <c:pt idx="5">
                  <c:v>PT</c:v>
                </c:pt>
                <c:pt idx="6">
                  <c:v>Safeskin</c:v>
                </c:pt>
                <c:pt idx="7">
                  <c:v>Top glove</c:v>
                </c:pt>
                <c:pt idx="8">
                  <c:v>Xunthai</c:v>
                </c:pt>
              </c:strCache>
            </c:strRef>
          </c:cat>
          <c:val>
            <c:numRef>
              <c:f>Pivottables!$BI$6:$BI$15</c:f>
              <c:numCache>
                <c:formatCode>_(* #,##0_);_(* \(#,##0\);_(* "-"_);_(@_)</c:formatCode>
                <c:ptCount val="9"/>
                <c:pt idx="1">
                  <c:v>2</c:v>
                </c:pt>
              </c:numCache>
            </c:numRef>
          </c:val>
          <c:extLst>
            <c:ext xmlns:c16="http://schemas.microsoft.com/office/drawing/2014/chart" uri="{C3380CC4-5D6E-409C-BE32-E72D297353CC}">
              <c16:uniqueId val="{0000005A-199A-4C45-BEF7-EC0A2B07EE25}"/>
            </c:ext>
          </c:extLst>
        </c:ser>
        <c:ser>
          <c:idx val="5"/>
          <c:order val="5"/>
          <c:tx>
            <c:strRef>
              <c:f>Pivottables!$BJ$4:$BJ$5</c:f>
              <c:strCache>
                <c:ptCount val="1"/>
                <c:pt idx="0">
                  <c:v>X1 Port</c:v>
                </c:pt>
              </c:strCache>
            </c:strRef>
          </c:tx>
          <c:spPr>
            <a:solidFill>
              <a:schemeClr val="accent6"/>
            </a:solidFill>
            <a:ln>
              <a:noFill/>
            </a:ln>
            <a:effectLst/>
            <a:sp3d/>
          </c:spPr>
          <c:invertIfNegative val="0"/>
          <c:cat>
            <c:strRef>
              <c:f>Pivottables!$BD$6:$BD$15</c:f>
              <c:strCache>
                <c:ptCount val="9"/>
                <c:pt idx="0">
                  <c:v>Air Port</c:v>
                </c:pt>
                <c:pt idx="1">
                  <c:v>Alex</c:v>
                </c:pt>
                <c:pt idx="2">
                  <c:v>Gidec</c:v>
                </c:pt>
                <c:pt idx="3">
                  <c:v>Giza</c:v>
                </c:pt>
                <c:pt idx="4">
                  <c:v>Port Said</c:v>
                </c:pt>
                <c:pt idx="5">
                  <c:v>PT</c:v>
                </c:pt>
                <c:pt idx="6">
                  <c:v>Safeskin</c:v>
                </c:pt>
                <c:pt idx="7">
                  <c:v>Top glove</c:v>
                </c:pt>
                <c:pt idx="8">
                  <c:v>Xunthai</c:v>
                </c:pt>
              </c:strCache>
            </c:strRef>
          </c:cat>
          <c:val>
            <c:numRef>
              <c:f>Pivottables!$BJ$6:$BJ$15</c:f>
              <c:numCache>
                <c:formatCode>_(* #,##0_);_(* \(#,##0\);_(* "-"_);_(@_)</c:formatCode>
                <c:ptCount val="9"/>
                <c:pt idx="0">
                  <c:v>2</c:v>
                </c:pt>
                <c:pt idx="3">
                  <c:v>2</c:v>
                </c:pt>
                <c:pt idx="6">
                  <c:v>2</c:v>
                </c:pt>
                <c:pt idx="7">
                  <c:v>2</c:v>
                </c:pt>
              </c:numCache>
            </c:numRef>
          </c:val>
          <c:extLst>
            <c:ext xmlns:c16="http://schemas.microsoft.com/office/drawing/2014/chart" uri="{C3380CC4-5D6E-409C-BE32-E72D297353CC}">
              <c16:uniqueId val="{0000005B-199A-4C45-BEF7-EC0A2B07EE25}"/>
            </c:ext>
          </c:extLst>
        </c:ser>
        <c:dLbls>
          <c:showLegendKey val="0"/>
          <c:showVal val="0"/>
          <c:showCatName val="0"/>
          <c:showSerName val="0"/>
          <c:showPercent val="0"/>
          <c:showBubbleSize val="0"/>
        </c:dLbls>
        <c:gapWidth val="150"/>
        <c:shape val="box"/>
        <c:axId val="1284721119"/>
        <c:axId val="1284723039"/>
        <c:axId val="0"/>
      </c:bar3DChart>
      <c:catAx>
        <c:axId val="1284721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1284723039"/>
        <c:crosses val="autoZero"/>
        <c:auto val="1"/>
        <c:lblAlgn val="ctr"/>
        <c:lblOffset val="100"/>
        <c:noMultiLvlLbl val="0"/>
      </c:catAx>
      <c:valAx>
        <c:axId val="1284723039"/>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128472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5.xml"/><Relationship Id="rId18" Type="http://schemas.openxmlformats.org/officeDocument/2006/relationships/image" Target="../media/image10.png"/><Relationship Id="rId3" Type="http://schemas.openxmlformats.org/officeDocument/2006/relationships/hyperlink" Target="#Schedule!A1"/><Relationship Id="rId21" Type="http://schemas.openxmlformats.org/officeDocument/2006/relationships/chart" Target="../charts/chart8.xml"/><Relationship Id="rId7" Type="http://schemas.openxmlformats.org/officeDocument/2006/relationships/image" Target="../media/image5.png"/><Relationship Id="rId12" Type="http://schemas.openxmlformats.org/officeDocument/2006/relationships/chart" Target="../charts/chart4.xml"/><Relationship Id="rId17" Type="http://schemas.openxmlformats.org/officeDocument/2006/relationships/image" Target="../media/image9.png"/><Relationship Id="rId2" Type="http://schemas.openxmlformats.org/officeDocument/2006/relationships/image" Target="../media/image2.svg"/><Relationship Id="rId16" Type="http://schemas.openxmlformats.org/officeDocument/2006/relationships/image" Target="../media/image8.svg"/><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hyperlink" Target="https://commons.wikimedia.org/wiki/File:Blank_malaysia_map.svg" TargetMode="External"/><Relationship Id="rId15" Type="http://schemas.openxmlformats.org/officeDocument/2006/relationships/image" Target="../media/image7.png"/><Relationship Id="rId10" Type="http://schemas.openxmlformats.org/officeDocument/2006/relationships/chart" Target="../charts/chart2.xml"/><Relationship Id="rId19" Type="http://schemas.openxmlformats.org/officeDocument/2006/relationships/image" Target="../media/image11.png"/><Relationship Id="rId4" Type="http://schemas.openxmlformats.org/officeDocument/2006/relationships/image" Target="../media/image3.png"/><Relationship Id="rId9" Type="http://schemas.openxmlformats.org/officeDocument/2006/relationships/chart" Target="../charts/chart1.xml"/><Relationship Id="rId14" Type="http://schemas.openxmlformats.org/officeDocument/2006/relationships/chart" Target="../charts/chart6.xml"/><Relationship Id="rId22" Type="http://schemas.openxmlformats.org/officeDocument/2006/relationships/image" Target="../media/image12.png"/></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Dashboard!A1"/><Relationship Id="rId7"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hyperlink" Target="https://commons.wikimedia.org/wiki/File:Blank_malaysia_map.svg" TargetMode="External"/><Relationship Id="rId10" Type="http://schemas.openxmlformats.org/officeDocument/2006/relationships/chart" Target="../charts/chart9.xml"/><Relationship Id="rId4" Type="http://schemas.openxmlformats.org/officeDocument/2006/relationships/image" Target="../media/image3.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0</xdr:col>
      <xdr:colOff>573405</xdr:colOff>
      <xdr:row>2</xdr:row>
      <xdr:rowOff>126688</xdr:rowOff>
    </xdr:from>
    <xdr:to>
      <xdr:col>3</xdr:col>
      <xdr:colOff>529592</xdr:colOff>
      <xdr:row>44</xdr:row>
      <xdr:rowOff>159398</xdr:rowOff>
    </xdr:to>
    <xdr:sp macro="" textlink="">
      <xdr:nvSpPr>
        <xdr:cNvPr id="2" name="Rectangle: Top Corners Rounded 1">
          <a:extLst>
            <a:ext uri="{FF2B5EF4-FFF2-40B4-BE49-F238E27FC236}">
              <a16:creationId xmlns:a16="http://schemas.microsoft.com/office/drawing/2014/main" id="{798EBB2B-C94D-396C-BB23-A053D0AC4567}"/>
            </a:ext>
          </a:extLst>
        </xdr:cNvPr>
        <xdr:cNvSpPr/>
      </xdr:nvSpPr>
      <xdr:spPr>
        <a:xfrm rot="16200000">
          <a:off x="-2636681" y="3736824"/>
          <a:ext cx="8433760" cy="2013587"/>
        </a:xfrm>
        <a:prstGeom prst="round2SameRect">
          <a:avLst>
            <a:gd name="adj1" fmla="val 23101"/>
            <a:gd name="adj2" fmla="val 0"/>
          </a:avLst>
        </a:prstGeom>
        <a:solidFill>
          <a:srgbClr val="EFEF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654226</xdr:colOff>
      <xdr:row>3</xdr:row>
      <xdr:rowOff>23718</xdr:rowOff>
    </xdr:from>
    <xdr:to>
      <xdr:col>3</xdr:col>
      <xdr:colOff>528540</xdr:colOff>
      <xdr:row>44</xdr:row>
      <xdr:rowOff>49574</xdr:rowOff>
    </xdr:to>
    <xdr:sp macro="" textlink="">
      <xdr:nvSpPr>
        <xdr:cNvPr id="4" name="Rectangle: Top Corners Rounded 3">
          <a:extLst>
            <a:ext uri="{FF2B5EF4-FFF2-40B4-BE49-F238E27FC236}">
              <a16:creationId xmlns:a16="http://schemas.microsoft.com/office/drawing/2014/main" id="{5E685B42-9EE6-4047-A385-3E40F8893D8B}"/>
            </a:ext>
          </a:extLst>
        </xdr:cNvPr>
        <xdr:cNvSpPr/>
      </xdr:nvSpPr>
      <xdr:spPr>
        <a:xfrm rot="16200000">
          <a:off x="-2535029" y="3820192"/>
          <a:ext cx="8324512" cy="1946002"/>
        </a:xfrm>
        <a:prstGeom prst="round2SameRect">
          <a:avLst>
            <a:gd name="adj1" fmla="val 23101"/>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3</xdr:col>
      <xdr:colOff>529572</xdr:colOff>
      <xdr:row>2</xdr:row>
      <xdr:rowOff>123825</xdr:rowOff>
    </xdr:from>
    <xdr:to>
      <xdr:col>19</xdr:col>
      <xdr:colOff>346692</xdr:colOff>
      <xdr:row>3</xdr:row>
      <xdr:rowOff>22255</xdr:rowOff>
    </xdr:to>
    <xdr:sp macro="" textlink="">
      <xdr:nvSpPr>
        <xdr:cNvPr id="6" name="Rectangle 5">
          <a:extLst>
            <a:ext uri="{FF2B5EF4-FFF2-40B4-BE49-F238E27FC236}">
              <a16:creationId xmlns:a16="http://schemas.microsoft.com/office/drawing/2014/main" id="{77F73FD3-067F-78D5-1043-9089C6E5F9E9}"/>
            </a:ext>
          </a:extLst>
        </xdr:cNvPr>
        <xdr:cNvSpPr/>
      </xdr:nvSpPr>
      <xdr:spPr>
        <a:xfrm>
          <a:off x="2586972" y="523875"/>
          <a:ext cx="10789920" cy="98455"/>
        </a:xfrm>
        <a:prstGeom prst="rect">
          <a:avLst/>
        </a:prstGeom>
        <a:solidFill>
          <a:srgbClr val="EFEF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532755</xdr:colOff>
      <xdr:row>3</xdr:row>
      <xdr:rowOff>24216</xdr:rowOff>
    </xdr:from>
    <xdr:to>
      <xdr:col>19</xdr:col>
      <xdr:colOff>350231</xdr:colOff>
      <xdr:row>13</xdr:row>
      <xdr:rowOff>176615</xdr:rowOff>
    </xdr:to>
    <xdr:sp macro="" textlink="">
      <xdr:nvSpPr>
        <xdr:cNvPr id="8" name="Rectangle 7">
          <a:extLst>
            <a:ext uri="{FF2B5EF4-FFF2-40B4-BE49-F238E27FC236}">
              <a16:creationId xmlns:a16="http://schemas.microsoft.com/office/drawing/2014/main" id="{9D86DCBF-17CE-4388-B4BF-F2C24602233D}"/>
            </a:ext>
          </a:extLst>
        </xdr:cNvPr>
        <xdr:cNvSpPr/>
      </xdr:nvSpPr>
      <xdr:spPr>
        <a:xfrm>
          <a:off x="2590155" y="624291"/>
          <a:ext cx="10790276" cy="2152649"/>
        </a:xfrm>
        <a:prstGeom prst="rect">
          <a:avLst/>
        </a:prstGeom>
        <a:gradFill flip="none" rotWithShape="1">
          <a:gsLst>
            <a:gs pos="1000">
              <a:srgbClr val="20375A"/>
            </a:gs>
            <a:gs pos="42000">
              <a:srgbClr val="152031"/>
            </a:gs>
            <a:gs pos="99000">
              <a:srgbClr val="20375A"/>
            </a:gs>
          </a:gsLst>
          <a:lin ang="13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endParaRPr>
        </a:p>
      </xdr:txBody>
    </xdr:sp>
    <xdr:clientData/>
  </xdr:twoCellAnchor>
  <xdr:twoCellAnchor>
    <xdr:from>
      <xdr:col>3</xdr:col>
      <xdr:colOff>529216</xdr:colOff>
      <xdr:row>13</xdr:row>
      <xdr:rowOff>177585</xdr:rowOff>
    </xdr:from>
    <xdr:to>
      <xdr:col>19</xdr:col>
      <xdr:colOff>346692</xdr:colOff>
      <xdr:row>44</xdr:row>
      <xdr:rowOff>57150</xdr:rowOff>
    </xdr:to>
    <xdr:sp macro="" textlink="">
      <xdr:nvSpPr>
        <xdr:cNvPr id="9" name="Rectangle 8">
          <a:extLst>
            <a:ext uri="{FF2B5EF4-FFF2-40B4-BE49-F238E27FC236}">
              <a16:creationId xmlns:a16="http://schemas.microsoft.com/office/drawing/2014/main" id="{81455F53-B2AE-4650-BAF5-F82C71EBF61F}"/>
            </a:ext>
          </a:extLst>
        </xdr:cNvPr>
        <xdr:cNvSpPr/>
      </xdr:nvSpPr>
      <xdr:spPr>
        <a:xfrm>
          <a:off x="2586616" y="2777910"/>
          <a:ext cx="10790276" cy="6080340"/>
        </a:xfrm>
        <a:prstGeom prst="rect">
          <a:avLst/>
        </a:prstGeom>
        <a:gradFill flip="none" rotWithShape="1">
          <a:gsLst>
            <a:gs pos="11000">
              <a:srgbClr val="FAF9F9"/>
            </a:gs>
            <a:gs pos="71000">
              <a:srgbClr val="F6F6F6"/>
            </a:gs>
          </a:gsLst>
          <a:lin ang="13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endParaRPr>
        </a:p>
      </xdr:txBody>
    </xdr:sp>
    <xdr:clientData/>
  </xdr:twoCellAnchor>
  <xdr:twoCellAnchor>
    <xdr:from>
      <xdr:col>3</xdr:col>
      <xdr:colOff>536553</xdr:colOff>
      <xdr:row>44</xdr:row>
      <xdr:rowOff>60379</xdr:rowOff>
    </xdr:from>
    <xdr:to>
      <xdr:col>19</xdr:col>
      <xdr:colOff>353673</xdr:colOff>
      <xdr:row>44</xdr:row>
      <xdr:rowOff>158834</xdr:rowOff>
    </xdr:to>
    <xdr:sp macro="" textlink="">
      <xdr:nvSpPr>
        <xdr:cNvPr id="10" name="Rectangle 9">
          <a:extLst>
            <a:ext uri="{FF2B5EF4-FFF2-40B4-BE49-F238E27FC236}">
              <a16:creationId xmlns:a16="http://schemas.microsoft.com/office/drawing/2014/main" id="{26F537DA-C3F3-4D50-934D-D56260D27127}"/>
            </a:ext>
          </a:extLst>
        </xdr:cNvPr>
        <xdr:cNvSpPr/>
      </xdr:nvSpPr>
      <xdr:spPr>
        <a:xfrm>
          <a:off x="2593953" y="8861479"/>
          <a:ext cx="10789920" cy="98455"/>
        </a:xfrm>
        <a:prstGeom prst="rect">
          <a:avLst/>
        </a:prstGeom>
        <a:solidFill>
          <a:srgbClr val="EFEF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340563</xdr:colOff>
      <xdr:row>2</xdr:row>
      <xdr:rowOff>123826</xdr:rowOff>
    </xdr:from>
    <xdr:to>
      <xdr:col>25</xdr:col>
      <xdr:colOff>28572</xdr:colOff>
      <xdr:row>44</xdr:row>
      <xdr:rowOff>161928</xdr:rowOff>
    </xdr:to>
    <xdr:sp macro="" textlink="">
      <xdr:nvSpPr>
        <xdr:cNvPr id="13" name="Rectangle: Top Corners Rounded 12">
          <a:extLst>
            <a:ext uri="{FF2B5EF4-FFF2-40B4-BE49-F238E27FC236}">
              <a16:creationId xmlns:a16="http://schemas.microsoft.com/office/drawing/2014/main" id="{DB9CC01C-A830-F4DD-3ACA-BB957130A646}"/>
            </a:ext>
          </a:extLst>
        </xdr:cNvPr>
        <xdr:cNvSpPr/>
      </xdr:nvSpPr>
      <xdr:spPr>
        <a:xfrm rot="5400000">
          <a:off x="11052592" y="2842047"/>
          <a:ext cx="8439152" cy="3802809"/>
        </a:xfrm>
        <a:prstGeom prst="round2SameRect">
          <a:avLst>
            <a:gd name="adj1" fmla="val 23101"/>
            <a:gd name="adj2" fmla="val 0"/>
          </a:avLst>
        </a:prstGeom>
        <a:solidFill>
          <a:srgbClr val="EFEF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333374</xdr:colOff>
      <xdr:row>3</xdr:row>
      <xdr:rowOff>23823</xdr:rowOff>
    </xdr:from>
    <xdr:to>
      <xdr:col>24</xdr:col>
      <xdr:colOff>609600</xdr:colOff>
      <xdr:row>44</xdr:row>
      <xdr:rowOff>54941</xdr:rowOff>
    </xdr:to>
    <xdr:sp macro="" textlink="">
      <xdr:nvSpPr>
        <xdr:cNvPr id="14" name="Rectangle: Top Corners Rounded 13">
          <a:extLst>
            <a:ext uri="{FF2B5EF4-FFF2-40B4-BE49-F238E27FC236}">
              <a16:creationId xmlns:a16="http://schemas.microsoft.com/office/drawing/2014/main" id="{EE6BE07F-9A1A-68FD-385C-9070FD13C41F}"/>
            </a:ext>
          </a:extLst>
        </xdr:cNvPr>
        <xdr:cNvSpPr/>
      </xdr:nvSpPr>
      <xdr:spPr>
        <a:xfrm rot="5400000">
          <a:off x="11100115" y="2887357"/>
          <a:ext cx="8232143" cy="3705226"/>
        </a:xfrm>
        <a:prstGeom prst="round2SameRect">
          <a:avLst>
            <a:gd name="adj1" fmla="val 2181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1</xdr:col>
      <xdr:colOff>504825</xdr:colOff>
      <xdr:row>3</xdr:row>
      <xdr:rowOff>152400</xdr:rowOff>
    </xdr:from>
    <xdr:to>
      <xdr:col>3</xdr:col>
      <xdr:colOff>47625</xdr:colOff>
      <xdr:row>8</xdr:row>
      <xdr:rowOff>66675</xdr:rowOff>
    </xdr:to>
    <xdr:pic>
      <xdr:nvPicPr>
        <xdr:cNvPr id="20" name="Graphic 19" descr="Freight with solid fill">
          <a:extLst>
            <a:ext uri="{FF2B5EF4-FFF2-40B4-BE49-F238E27FC236}">
              <a16:creationId xmlns:a16="http://schemas.microsoft.com/office/drawing/2014/main" id="{BF0FD4AC-A2F1-5D6E-77B6-79F53595AE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90625" y="752475"/>
          <a:ext cx="914400" cy="914400"/>
        </a:xfrm>
        <a:prstGeom prst="rect">
          <a:avLst/>
        </a:prstGeom>
      </xdr:spPr>
    </xdr:pic>
    <xdr:clientData/>
  </xdr:twoCellAnchor>
  <xdr:twoCellAnchor>
    <xdr:from>
      <xdr:col>1</xdr:col>
      <xdr:colOff>266699</xdr:colOff>
      <xdr:row>9</xdr:row>
      <xdr:rowOff>85726</xdr:rowOff>
    </xdr:from>
    <xdr:to>
      <xdr:col>3</xdr:col>
      <xdr:colOff>257174</xdr:colOff>
      <xdr:row>11</xdr:row>
      <xdr:rowOff>68010</xdr:rowOff>
    </xdr:to>
    <xdr:sp macro="" textlink="">
      <xdr:nvSpPr>
        <xdr:cNvPr id="25" name="Rectangle: Rounded Corners 24">
          <a:extLst>
            <a:ext uri="{FF2B5EF4-FFF2-40B4-BE49-F238E27FC236}">
              <a16:creationId xmlns:a16="http://schemas.microsoft.com/office/drawing/2014/main" id="{397CDC2A-4A6D-FAFC-F231-D611E2B29724}"/>
            </a:ext>
          </a:extLst>
        </xdr:cNvPr>
        <xdr:cNvSpPr/>
      </xdr:nvSpPr>
      <xdr:spPr>
        <a:xfrm>
          <a:off x="955561" y="1922690"/>
          <a:ext cx="1368198" cy="390499"/>
        </a:xfrm>
        <a:prstGeom prst="roundRect">
          <a:avLst>
            <a:gd name="adj" fmla="val 22931"/>
          </a:avLst>
        </a:prstGeom>
        <a:solidFill>
          <a:schemeClr val="bg1">
            <a:lumMod val="85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342901</xdr:colOff>
      <xdr:row>9</xdr:row>
      <xdr:rowOff>139734</xdr:rowOff>
    </xdr:from>
    <xdr:to>
      <xdr:col>3</xdr:col>
      <xdr:colOff>161925</xdr:colOff>
      <xdr:row>11</xdr:row>
      <xdr:rowOff>14003</xdr:rowOff>
    </xdr:to>
    <xdr:sp macro="" textlink="">
      <xdr:nvSpPr>
        <xdr:cNvPr id="22" name="TextBox 21">
          <a:extLst>
            <a:ext uri="{FF2B5EF4-FFF2-40B4-BE49-F238E27FC236}">
              <a16:creationId xmlns:a16="http://schemas.microsoft.com/office/drawing/2014/main" id="{A280AABA-6E9C-7681-5609-DBE960E341C6}"/>
            </a:ext>
          </a:extLst>
        </xdr:cNvPr>
        <xdr:cNvSpPr txBox="1"/>
      </xdr:nvSpPr>
      <xdr:spPr>
        <a:xfrm>
          <a:off x="1028701" y="1939959"/>
          <a:ext cx="1190624"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rgbClr val="48515F"/>
              </a:solidFill>
              <a:latin typeface="Abadi" panose="020F0502020204030204" pitchFamily="34" charset="0"/>
            </a:rPr>
            <a:t>Dashboard</a:t>
          </a:r>
        </a:p>
      </xdr:txBody>
    </xdr:sp>
    <xdr:clientData/>
  </xdr:twoCellAnchor>
  <xdr:twoCellAnchor>
    <xdr:from>
      <xdr:col>1</xdr:col>
      <xdr:colOff>400050</xdr:colOff>
      <xdr:row>12</xdr:row>
      <xdr:rowOff>116962</xdr:rowOff>
    </xdr:from>
    <xdr:to>
      <xdr:col>3</xdr:col>
      <xdr:colOff>47626</xdr:colOff>
      <xdr:row>13</xdr:row>
      <xdr:rowOff>191256</xdr:rowOff>
    </xdr:to>
    <xdr:sp macro="" textlink="">
      <xdr:nvSpPr>
        <xdr:cNvPr id="26" name="TextBox 25">
          <a:hlinkClick xmlns:r="http://schemas.openxmlformats.org/officeDocument/2006/relationships" r:id="rId3"/>
          <a:extLst>
            <a:ext uri="{FF2B5EF4-FFF2-40B4-BE49-F238E27FC236}">
              <a16:creationId xmlns:a16="http://schemas.microsoft.com/office/drawing/2014/main" id="{1AAED64B-1440-45E9-B8B9-BD9E971B2620}"/>
            </a:ext>
          </a:extLst>
        </xdr:cNvPr>
        <xdr:cNvSpPr txBox="1"/>
      </xdr:nvSpPr>
      <xdr:spPr>
        <a:xfrm>
          <a:off x="1085850" y="2517262"/>
          <a:ext cx="1019176"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solidFill>
                <a:srgbClr val="48515F"/>
              </a:solidFill>
              <a:latin typeface="Abadi" panose="020F0502020204030204" pitchFamily="34" charset="0"/>
            </a:rPr>
            <a:t>Schedule</a:t>
          </a:r>
        </a:p>
      </xdr:txBody>
    </xdr:sp>
    <xdr:clientData/>
  </xdr:twoCellAnchor>
  <xdr:twoCellAnchor>
    <xdr:from>
      <xdr:col>0</xdr:col>
      <xdr:colOff>653885</xdr:colOff>
      <xdr:row>9</xdr:row>
      <xdr:rowOff>155543</xdr:rowOff>
    </xdr:from>
    <xdr:to>
      <xdr:col>1</xdr:col>
      <xdr:colOff>13062</xdr:colOff>
      <xdr:row>10</xdr:row>
      <xdr:rowOff>196117</xdr:rowOff>
    </xdr:to>
    <xdr:sp macro="" textlink="">
      <xdr:nvSpPr>
        <xdr:cNvPr id="27" name="Rectangle: Top Corners Rounded 26">
          <a:extLst>
            <a:ext uri="{FF2B5EF4-FFF2-40B4-BE49-F238E27FC236}">
              <a16:creationId xmlns:a16="http://schemas.microsoft.com/office/drawing/2014/main" id="{DDCD2457-253F-AB8A-3605-B77BE984DE1A}"/>
            </a:ext>
          </a:extLst>
        </xdr:cNvPr>
        <xdr:cNvSpPr/>
      </xdr:nvSpPr>
      <xdr:spPr>
        <a:xfrm rot="5400000">
          <a:off x="556074" y="2053579"/>
          <a:ext cx="240599" cy="44977"/>
        </a:xfrm>
        <a:prstGeom prst="round2SameRect">
          <a:avLst>
            <a:gd name="adj1" fmla="val 50000"/>
            <a:gd name="adj2" fmla="val 0"/>
          </a:avLst>
        </a:prstGeom>
        <a:solidFill>
          <a:srgbClr val="CF5C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600447</xdr:colOff>
      <xdr:row>3</xdr:row>
      <xdr:rowOff>118952</xdr:rowOff>
    </xdr:from>
    <xdr:to>
      <xdr:col>10</xdr:col>
      <xdr:colOff>599951</xdr:colOff>
      <xdr:row>7</xdr:row>
      <xdr:rowOff>179367</xdr:rowOff>
    </xdr:to>
    <xdr:sp macro="" textlink="">
      <xdr:nvSpPr>
        <xdr:cNvPr id="28" name="TextBox 27">
          <a:extLst>
            <a:ext uri="{FF2B5EF4-FFF2-40B4-BE49-F238E27FC236}">
              <a16:creationId xmlns:a16="http://schemas.microsoft.com/office/drawing/2014/main" id="{4F63258A-DD1D-403F-82EC-B82BB9557F0D}"/>
            </a:ext>
          </a:extLst>
        </xdr:cNvPr>
        <xdr:cNvSpPr txBox="1"/>
      </xdr:nvSpPr>
      <xdr:spPr>
        <a:xfrm>
          <a:off x="2657847" y="719027"/>
          <a:ext cx="4800104" cy="860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a:solidFill>
                <a:schemeClr val="bg1"/>
              </a:solidFill>
              <a:latin typeface="Abadi" panose="020F0502020204030204" pitchFamily="34" charset="0"/>
            </a:rPr>
            <a:t>Fleet Management Transportation &amp; Logistics Dashboard </a:t>
          </a:r>
          <a:r>
            <a:rPr lang="en-GB" sz="1100">
              <a:solidFill>
                <a:schemeClr val="bg1"/>
              </a:solidFill>
              <a:latin typeface="Abadi" panose="020F0502020204030204" pitchFamily="34" charset="0"/>
            </a:rPr>
            <a:t>2026</a:t>
          </a:r>
        </a:p>
      </xdr:txBody>
    </xdr:sp>
    <xdr:clientData/>
  </xdr:twoCellAnchor>
  <xdr:twoCellAnchor>
    <xdr:from>
      <xdr:col>3</xdr:col>
      <xdr:colOff>617270</xdr:colOff>
      <xdr:row>7</xdr:row>
      <xdr:rowOff>5393</xdr:rowOff>
    </xdr:from>
    <xdr:to>
      <xdr:col>10</xdr:col>
      <xdr:colOff>616774</xdr:colOff>
      <xdr:row>11</xdr:row>
      <xdr:rowOff>65809</xdr:rowOff>
    </xdr:to>
    <xdr:sp macro="" textlink="">
      <xdr:nvSpPr>
        <xdr:cNvPr id="29" name="TextBox 28">
          <a:extLst>
            <a:ext uri="{FF2B5EF4-FFF2-40B4-BE49-F238E27FC236}">
              <a16:creationId xmlns:a16="http://schemas.microsoft.com/office/drawing/2014/main" id="{32F6434C-5532-47F2-81A3-85E34F9AC7B1}"/>
            </a:ext>
          </a:extLst>
        </xdr:cNvPr>
        <xdr:cNvSpPr txBox="1"/>
      </xdr:nvSpPr>
      <xdr:spPr>
        <a:xfrm>
          <a:off x="2674670" y="1405568"/>
          <a:ext cx="4800104" cy="860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solidFill>
                <a:schemeClr val="bg1"/>
              </a:solidFill>
              <a:latin typeface="Abadi" panose="020F0502020204030204" pitchFamily="34" charset="0"/>
            </a:rPr>
            <a:t>Overview</a:t>
          </a:r>
        </a:p>
      </xdr:txBody>
    </xdr:sp>
    <xdr:clientData/>
  </xdr:twoCellAnchor>
  <xdr:twoCellAnchor>
    <xdr:from>
      <xdr:col>13</xdr:col>
      <xdr:colOff>482436</xdr:colOff>
      <xdr:row>3</xdr:row>
      <xdr:rowOff>27833</xdr:rowOff>
    </xdr:from>
    <xdr:to>
      <xdr:col>19</xdr:col>
      <xdr:colOff>325581</xdr:colOff>
      <xdr:row>11</xdr:row>
      <xdr:rowOff>178006</xdr:rowOff>
    </xdr:to>
    <xdr:pic>
      <xdr:nvPicPr>
        <xdr:cNvPr id="35" name="Picture 34">
          <a:extLst>
            <a:ext uri="{FF2B5EF4-FFF2-40B4-BE49-F238E27FC236}">
              <a16:creationId xmlns:a16="http://schemas.microsoft.com/office/drawing/2014/main" id="{34F0FF8C-0C78-F0A5-1411-848419D9C25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9397836" y="627908"/>
          <a:ext cx="3957945" cy="1750373"/>
        </a:xfrm>
        <a:prstGeom prst="rect">
          <a:avLst/>
        </a:prstGeom>
      </xdr:spPr>
    </xdr:pic>
    <xdr:clientData/>
  </xdr:twoCellAnchor>
  <xdr:twoCellAnchor>
    <xdr:from>
      <xdr:col>14</xdr:col>
      <xdr:colOff>284513</xdr:colOff>
      <xdr:row>8</xdr:row>
      <xdr:rowOff>105146</xdr:rowOff>
    </xdr:from>
    <xdr:to>
      <xdr:col>14</xdr:col>
      <xdr:colOff>340178</xdr:colOff>
      <xdr:row>8</xdr:row>
      <xdr:rowOff>160811</xdr:rowOff>
    </xdr:to>
    <xdr:sp macro="" textlink="">
      <xdr:nvSpPr>
        <xdr:cNvPr id="37" name="Oval 36">
          <a:extLst>
            <a:ext uri="{FF2B5EF4-FFF2-40B4-BE49-F238E27FC236}">
              <a16:creationId xmlns:a16="http://schemas.microsoft.com/office/drawing/2014/main" id="{564B734A-3BA2-7FB7-BCE0-3FAD4D99820C}"/>
            </a:ext>
          </a:extLst>
        </xdr:cNvPr>
        <xdr:cNvSpPr/>
      </xdr:nvSpPr>
      <xdr:spPr>
        <a:xfrm>
          <a:off x="9885713" y="1705346"/>
          <a:ext cx="55665" cy="55665"/>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333994</xdr:colOff>
      <xdr:row>6</xdr:row>
      <xdr:rowOff>55668</xdr:rowOff>
    </xdr:from>
    <xdr:to>
      <xdr:col>17</xdr:col>
      <xdr:colOff>222664</xdr:colOff>
      <xdr:row>9</xdr:row>
      <xdr:rowOff>68035</xdr:rowOff>
    </xdr:to>
    <xdr:sp macro="" textlink="">
      <xdr:nvSpPr>
        <xdr:cNvPr id="38" name="TextBox 37">
          <a:extLst>
            <a:ext uri="{FF2B5EF4-FFF2-40B4-BE49-F238E27FC236}">
              <a16:creationId xmlns:a16="http://schemas.microsoft.com/office/drawing/2014/main" id="{F93403C3-CD6E-480F-BC70-83EC2E1CD093}"/>
            </a:ext>
          </a:extLst>
        </xdr:cNvPr>
        <xdr:cNvSpPr txBox="1"/>
      </xdr:nvSpPr>
      <xdr:spPr>
        <a:xfrm>
          <a:off x="10620994" y="1255818"/>
          <a:ext cx="1260270" cy="612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050">
              <a:solidFill>
                <a:schemeClr val="bg1"/>
              </a:solidFill>
              <a:latin typeface="Abadi" panose="020F0502020204030204" pitchFamily="34" charset="0"/>
            </a:rPr>
            <a:t>Kuala Lumpur,</a:t>
          </a:r>
          <a:endParaRPr lang="en-GB" sz="1050" baseline="0">
            <a:solidFill>
              <a:schemeClr val="bg1"/>
            </a:solidFill>
            <a:latin typeface="Abadi" panose="020F0502020204030204" pitchFamily="34" charset="0"/>
          </a:endParaRPr>
        </a:p>
        <a:p>
          <a:pPr algn="l"/>
          <a:r>
            <a:rPr lang="en-GB" sz="1050">
              <a:solidFill>
                <a:schemeClr val="bg1"/>
              </a:solidFill>
              <a:latin typeface="Abadi" panose="020F0502020204030204" pitchFamily="34" charset="0"/>
            </a:rPr>
            <a:t>Malaysia</a:t>
          </a:r>
        </a:p>
      </xdr:txBody>
    </xdr:sp>
    <xdr:clientData/>
  </xdr:twoCellAnchor>
  <xdr:twoCellAnchor>
    <xdr:from>
      <xdr:col>15</xdr:col>
      <xdr:colOff>445325</xdr:colOff>
      <xdr:row>6</xdr:row>
      <xdr:rowOff>43296</xdr:rowOff>
    </xdr:from>
    <xdr:to>
      <xdr:col>16</xdr:col>
      <xdr:colOff>13606</xdr:colOff>
      <xdr:row>6</xdr:row>
      <xdr:rowOff>170708</xdr:rowOff>
    </xdr:to>
    <xdr:pic>
      <xdr:nvPicPr>
        <xdr:cNvPr id="39" name="Picture 38">
          <a:extLst>
            <a:ext uri="{FF2B5EF4-FFF2-40B4-BE49-F238E27FC236}">
              <a16:creationId xmlns:a16="http://schemas.microsoft.com/office/drawing/2014/main" id="{3CA17112-07D2-8BCB-62CE-51AE9D691733}"/>
            </a:ext>
          </a:extLst>
        </xdr:cNvPr>
        <xdr:cNvPicPr>
          <a:picLocks noChangeAspect="1"/>
        </xdr:cNvPicPr>
      </xdr:nvPicPr>
      <xdr:blipFill>
        <a:blip xmlns:r="http://schemas.openxmlformats.org/officeDocument/2006/relationships" r:embed="rId6"/>
        <a:stretch>
          <a:fillRect/>
        </a:stretch>
      </xdr:blipFill>
      <xdr:spPr>
        <a:xfrm>
          <a:off x="10732325" y="1243446"/>
          <a:ext cx="254081" cy="127412"/>
        </a:xfrm>
        <a:prstGeom prst="rect">
          <a:avLst/>
        </a:prstGeom>
        <a:ln>
          <a:solidFill>
            <a:schemeClr val="bg1"/>
          </a:solidFill>
        </a:ln>
      </xdr:spPr>
    </xdr:pic>
    <xdr:clientData/>
  </xdr:twoCellAnchor>
  <xdr:twoCellAnchor>
    <xdr:from>
      <xdr:col>4</xdr:col>
      <xdr:colOff>346363</xdr:colOff>
      <xdr:row>11</xdr:row>
      <xdr:rowOff>41068</xdr:rowOff>
    </xdr:from>
    <xdr:to>
      <xdr:col>8</xdr:col>
      <xdr:colOff>251954</xdr:colOff>
      <xdr:row>17</xdr:row>
      <xdr:rowOff>133696</xdr:rowOff>
    </xdr:to>
    <xdr:sp macro="" textlink="">
      <xdr:nvSpPr>
        <xdr:cNvPr id="40" name="Rectangle: Rounded Corners 39">
          <a:extLst>
            <a:ext uri="{FF2B5EF4-FFF2-40B4-BE49-F238E27FC236}">
              <a16:creationId xmlns:a16="http://schemas.microsoft.com/office/drawing/2014/main" id="{AC9E829B-F117-2352-CCF0-8E678A13CE3C}"/>
            </a:ext>
          </a:extLst>
        </xdr:cNvPr>
        <xdr:cNvSpPr/>
      </xdr:nvSpPr>
      <xdr:spPr>
        <a:xfrm>
          <a:off x="3089563" y="2241343"/>
          <a:ext cx="2648791" cy="1292778"/>
        </a:xfrm>
        <a:prstGeom prst="roundRect">
          <a:avLst>
            <a:gd name="adj" fmla="val 16143"/>
          </a:avLst>
        </a:prstGeom>
        <a:gradFill flip="none" rotWithShape="1">
          <a:gsLst>
            <a:gs pos="0">
              <a:srgbClr val="FDFDFD"/>
            </a:gs>
            <a:gs pos="100000">
              <a:schemeClr val="accent1">
                <a:tint val="23500"/>
                <a:satMod val="160000"/>
              </a:schemeClr>
            </a:gs>
          </a:gsLst>
          <a:lin ang="16200000" scaled="1"/>
          <a:tileRect/>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508041</xdr:colOff>
      <xdr:row>11</xdr:row>
      <xdr:rowOff>41068</xdr:rowOff>
    </xdr:from>
    <xdr:to>
      <xdr:col>13</xdr:col>
      <xdr:colOff>413632</xdr:colOff>
      <xdr:row>17</xdr:row>
      <xdr:rowOff>133696</xdr:rowOff>
    </xdr:to>
    <xdr:sp macro="" textlink="">
      <xdr:nvSpPr>
        <xdr:cNvPr id="41" name="Rectangle: Rounded Corners 40">
          <a:extLst>
            <a:ext uri="{FF2B5EF4-FFF2-40B4-BE49-F238E27FC236}">
              <a16:creationId xmlns:a16="http://schemas.microsoft.com/office/drawing/2014/main" id="{D1A7E93E-6CDC-41DA-8A29-E1C35066FFF1}"/>
            </a:ext>
          </a:extLst>
        </xdr:cNvPr>
        <xdr:cNvSpPr/>
      </xdr:nvSpPr>
      <xdr:spPr>
        <a:xfrm>
          <a:off x="6680241" y="2241343"/>
          <a:ext cx="2648791" cy="1292778"/>
        </a:xfrm>
        <a:prstGeom prst="roundRect">
          <a:avLst>
            <a:gd name="adj" fmla="val 16143"/>
          </a:avLst>
        </a:prstGeom>
        <a:gradFill flip="none" rotWithShape="1">
          <a:gsLst>
            <a:gs pos="0">
              <a:srgbClr val="FDFDFD"/>
            </a:gs>
            <a:gs pos="100000">
              <a:schemeClr val="accent1">
                <a:tint val="23500"/>
                <a:satMod val="160000"/>
              </a:schemeClr>
            </a:gs>
          </a:gsLst>
          <a:lin ang="16200000" scaled="1"/>
          <a:tileRect/>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669719</xdr:colOff>
      <xdr:row>11</xdr:row>
      <xdr:rowOff>41068</xdr:rowOff>
    </xdr:from>
    <xdr:to>
      <xdr:col>18</xdr:col>
      <xdr:colOff>575310</xdr:colOff>
      <xdr:row>17</xdr:row>
      <xdr:rowOff>133696</xdr:rowOff>
    </xdr:to>
    <xdr:sp macro="" textlink="">
      <xdr:nvSpPr>
        <xdr:cNvPr id="42" name="Rectangle: Rounded Corners 41">
          <a:extLst>
            <a:ext uri="{FF2B5EF4-FFF2-40B4-BE49-F238E27FC236}">
              <a16:creationId xmlns:a16="http://schemas.microsoft.com/office/drawing/2014/main" id="{50275D31-A763-4A71-98F3-A4F4FB8CD546}"/>
            </a:ext>
          </a:extLst>
        </xdr:cNvPr>
        <xdr:cNvSpPr/>
      </xdr:nvSpPr>
      <xdr:spPr>
        <a:xfrm>
          <a:off x="10270919" y="2241343"/>
          <a:ext cx="2648791" cy="1292778"/>
        </a:xfrm>
        <a:prstGeom prst="roundRect">
          <a:avLst>
            <a:gd name="adj" fmla="val 16143"/>
          </a:avLst>
        </a:prstGeom>
        <a:gradFill flip="none" rotWithShape="1">
          <a:gsLst>
            <a:gs pos="0">
              <a:srgbClr val="FDFDFD"/>
            </a:gs>
            <a:gs pos="100000">
              <a:schemeClr val="accent1">
                <a:tint val="23500"/>
                <a:satMod val="160000"/>
              </a:schemeClr>
            </a:gs>
          </a:gsLst>
          <a:lin ang="16200000" scaled="1"/>
          <a:tileRect/>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161924</xdr:colOff>
      <xdr:row>19</xdr:row>
      <xdr:rowOff>28575</xdr:rowOff>
    </xdr:from>
    <xdr:to>
      <xdr:col>11</xdr:col>
      <xdr:colOff>299084</xdr:colOff>
      <xdr:row>30</xdr:row>
      <xdr:rowOff>22860</xdr:rowOff>
    </xdr:to>
    <xdr:sp macro="" textlink="">
      <xdr:nvSpPr>
        <xdr:cNvPr id="43" name="Rectangle: Rounded Corners 42">
          <a:extLst>
            <a:ext uri="{FF2B5EF4-FFF2-40B4-BE49-F238E27FC236}">
              <a16:creationId xmlns:a16="http://schemas.microsoft.com/office/drawing/2014/main" id="{77BCE4E4-0A2A-B872-1444-625F75618E55}"/>
            </a:ext>
          </a:extLst>
        </xdr:cNvPr>
        <xdr:cNvSpPr/>
      </xdr:nvSpPr>
      <xdr:spPr>
        <a:xfrm>
          <a:off x="2905124" y="3829050"/>
          <a:ext cx="4937760" cy="21945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619124</xdr:colOff>
      <xdr:row>19</xdr:row>
      <xdr:rowOff>38100</xdr:rowOff>
    </xdr:from>
    <xdr:to>
      <xdr:col>19</xdr:col>
      <xdr:colOff>70484</xdr:colOff>
      <xdr:row>30</xdr:row>
      <xdr:rowOff>32385</xdr:rowOff>
    </xdr:to>
    <xdr:sp macro="" textlink="">
      <xdr:nvSpPr>
        <xdr:cNvPr id="47" name="Rectangle: Rounded Corners 46">
          <a:extLst>
            <a:ext uri="{FF2B5EF4-FFF2-40B4-BE49-F238E27FC236}">
              <a16:creationId xmlns:a16="http://schemas.microsoft.com/office/drawing/2014/main" id="{53659108-3C83-4B0D-8124-024EE8838267}"/>
            </a:ext>
          </a:extLst>
        </xdr:cNvPr>
        <xdr:cNvSpPr/>
      </xdr:nvSpPr>
      <xdr:spPr>
        <a:xfrm>
          <a:off x="8162924" y="3838575"/>
          <a:ext cx="4937760" cy="21945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590549</xdr:colOff>
      <xdr:row>31</xdr:row>
      <xdr:rowOff>133350</xdr:rowOff>
    </xdr:from>
    <xdr:to>
      <xdr:col>19</xdr:col>
      <xdr:colOff>41909</xdr:colOff>
      <xdr:row>42</xdr:row>
      <xdr:rowOff>127635</xdr:rowOff>
    </xdr:to>
    <xdr:sp macro="" textlink="">
      <xdr:nvSpPr>
        <xdr:cNvPr id="49" name="Rectangle: Rounded Corners 48">
          <a:extLst>
            <a:ext uri="{FF2B5EF4-FFF2-40B4-BE49-F238E27FC236}">
              <a16:creationId xmlns:a16="http://schemas.microsoft.com/office/drawing/2014/main" id="{E7E91E75-9D9E-444E-987B-BAE73D0F4670}"/>
            </a:ext>
          </a:extLst>
        </xdr:cNvPr>
        <xdr:cNvSpPr/>
      </xdr:nvSpPr>
      <xdr:spPr>
        <a:xfrm>
          <a:off x="8134349" y="6334125"/>
          <a:ext cx="4937760" cy="21945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133349</xdr:colOff>
      <xdr:row>31</xdr:row>
      <xdr:rowOff>133350</xdr:rowOff>
    </xdr:from>
    <xdr:to>
      <xdr:col>6</xdr:col>
      <xdr:colOff>333375</xdr:colOff>
      <xdr:row>42</xdr:row>
      <xdr:rowOff>127635</xdr:rowOff>
    </xdr:to>
    <xdr:sp macro="" textlink="">
      <xdr:nvSpPr>
        <xdr:cNvPr id="48" name="Rectangle: Rounded Corners 47">
          <a:extLst>
            <a:ext uri="{FF2B5EF4-FFF2-40B4-BE49-F238E27FC236}">
              <a16:creationId xmlns:a16="http://schemas.microsoft.com/office/drawing/2014/main" id="{4D56524F-F733-475F-BC44-655DB769DADE}"/>
            </a:ext>
          </a:extLst>
        </xdr:cNvPr>
        <xdr:cNvSpPr/>
      </xdr:nvSpPr>
      <xdr:spPr>
        <a:xfrm>
          <a:off x="2876549" y="6334125"/>
          <a:ext cx="1571626" cy="21945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28575</xdr:colOff>
      <xdr:row>5</xdr:row>
      <xdr:rowOff>0</xdr:rowOff>
    </xdr:from>
    <xdr:to>
      <xdr:col>24</xdr:col>
      <xdr:colOff>120015</xdr:colOff>
      <xdr:row>10</xdr:row>
      <xdr:rowOff>188595</xdr:rowOff>
    </xdr:to>
    <xdr:sp macro="" textlink="">
      <xdr:nvSpPr>
        <xdr:cNvPr id="51" name="Rectangle: Rounded Corners 50">
          <a:extLst>
            <a:ext uri="{FF2B5EF4-FFF2-40B4-BE49-F238E27FC236}">
              <a16:creationId xmlns:a16="http://schemas.microsoft.com/office/drawing/2014/main" id="{A8502E33-EFAF-4F54-D8DE-AB5D6FD2DFF4}"/>
            </a:ext>
          </a:extLst>
        </xdr:cNvPr>
        <xdr:cNvSpPr/>
      </xdr:nvSpPr>
      <xdr:spPr>
        <a:xfrm>
          <a:off x="13744575" y="1000125"/>
          <a:ext cx="2834640" cy="1188720"/>
        </a:xfrm>
        <a:prstGeom prst="roundRect">
          <a:avLst/>
        </a:prstGeom>
        <a:solidFill>
          <a:srgbClr val="FAF4D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354330</xdr:colOff>
      <xdr:row>5</xdr:row>
      <xdr:rowOff>139700</xdr:rowOff>
    </xdr:from>
    <xdr:to>
      <xdr:col>22</xdr:col>
      <xdr:colOff>173354</xdr:colOff>
      <xdr:row>7</xdr:row>
      <xdr:rowOff>13969</xdr:rowOff>
    </xdr:to>
    <xdr:sp macro="" textlink="">
      <xdr:nvSpPr>
        <xdr:cNvPr id="52" name="TextBox 51">
          <a:extLst>
            <a:ext uri="{FF2B5EF4-FFF2-40B4-BE49-F238E27FC236}">
              <a16:creationId xmlns:a16="http://schemas.microsoft.com/office/drawing/2014/main" id="{3E58B898-472D-4E85-88FB-5A85BEB8C8E9}"/>
            </a:ext>
          </a:extLst>
        </xdr:cNvPr>
        <xdr:cNvSpPr txBox="1"/>
      </xdr:nvSpPr>
      <xdr:spPr>
        <a:xfrm>
          <a:off x="14070330" y="1139825"/>
          <a:ext cx="1190624"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rgbClr val="48515F"/>
              </a:solidFill>
              <a:latin typeface="Abadi" panose="020F0502020204030204" pitchFamily="34" charset="0"/>
            </a:rPr>
            <a:t>Total</a:t>
          </a:r>
          <a:r>
            <a:rPr lang="en-GB" sz="1400" baseline="0">
              <a:solidFill>
                <a:srgbClr val="48515F"/>
              </a:solidFill>
              <a:latin typeface="Abadi" panose="020F0502020204030204" pitchFamily="34" charset="0"/>
            </a:rPr>
            <a:t> Trips</a:t>
          </a:r>
          <a:endParaRPr lang="en-GB" sz="1400">
            <a:solidFill>
              <a:srgbClr val="48515F"/>
            </a:solidFill>
            <a:latin typeface="Abadi" panose="020F0502020204030204" pitchFamily="34" charset="0"/>
          </a:endParaRPr>
        </a:p>
      </xdr:txBody>
    </xdr:sp>
    <xdr:clientData/>
  </xdr:twoCellAnchor>
  <xdr:twoCellAnchor>
    <xdr:from>
      <xdr:col>20</xdr:col>
      <xdr:colOff>354330</xdr:colOff>
      <xdr:row>7</xdr:row>
      <xdr:rowOff>76200</xdr:rowOff>
    </xdr:from>
    <xdr:to>
      <xdr:col>22</xdr:col>
      <xdr:colOff>173354</xdr:colOff>
      <xdr:row>8</xdr:row>
      <xdr:rowOff>150494</xdr:rowOff>
    </xdr:to>
    <xdr:sp macro="" textlink="Pivottables!B5">
      <xdr:nvSpPr>
        <xdr:cNvPr id="53" name="TextBox 52">
          <a:extLst>
            <a:ext uri="{FF2B5EF4-FFF2-40B4-BE49-F238E27FC236}">
              <a16:creationId xmlns:a16="http://schemas.microsoft.com/office/drawing/2014/main" id="{5427D92C-8ABF-4126-9BD4-F99E2D3AF363}"/>
            </a:ext>
          </a:extLst>
        </xdr:cNvPr>
        <xdr:cNvSpPr txBox="1"/>
      </xdr:nvSpPr>
      <xdr:spPr>
        <a:xfrm>
          <a:off x="14070330" y="1476375"/>
          <a:ext cx="1190624"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5CEB82-129F-43F2-B3C4-2A5C907DB357}" type="TxLink">
            <a:rPr lang="en-US" sz="2400">
              <a:solidFill>
                <a:srgbClr val="48515F"/>
              </a:solidFill>
              <a:latin typeface="Abadi" panose="020F0502020204030204" pitchFamily="34" charset="0"/>
              <a:ea typeface="+mn-ea"/>
              <a:cs typeface="+mn-cs"/>
            </a:rPr>
            <a:pPr marL="0" indent="0" algn="ctr"/>
            <a:t>24</a:t>
          </a:fld>
          <a:endParaRPr lang="en-US" sz="2400">
            <a:solidFill>
              <a:srgbClr val="48515F"/>
            </a:solidFill>
            <a:latin typeface="Abadi" panose="020F0502020204030204" pitchFamily="34" charset="0"/>
            <a:ea typeface="+mn-ea"/>
            <a:cs typeface="+mn-cs"/>
          </a:endParaRPr>
        </a:p>
      </xdr:txBody>
    </xdr:sp>
    <xdr:clientData/>
  </xdr:twoCellAnchor>
  <xdr:twoCellAnchor>
    <xdr:from>
      <xdr:col>20</xdr:col>
      <xdr:colOff>78105</xdr:colOff>
      <xdr:row>9</xdr:row>
      <xdr:rowOff>19050</xdr:rowOff>
    </xdr:from>
    <xdr:to>
      <xdr:col>22</xdr:col>
      <xdr:colOff>133351</xdr:colOff>
      <xdr:row>10</xdr:row>
      <xdr:rowOff>93344</xdr:rowOff>
    </xdr:to>
    <xdr:sp macro="" textlink="">
      <xdr:nvSpPr>
        <xdr:cNvPr id="54" name="TextBox 53">
          <a:extLst>
            <a:ext uri="{FF2B5EF4-FFF2-40B4-BE49-F238E27FC236}">
              <a16:creationId xmlns:a16="http://schemas.microsoft.com/office/drawing/2014/main" id="{FA131D27-C802-4FC7-94C0-357EDEC6257D}"/>
            </a:ext>
          </a:extLst>
        </xdr:cNvPr>
        <xdr:cNvSpPr txBox="1"/>
      </xdr:nvSpPr>
      <xdr:spPr>
        <a:xfrm>
          <a:off x="13794105" y="1819275"/>
          <a:ext cx="1426846"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rgbClr val="48515F"/>
              </a:solidFill>
              <a:latin typeface="Abadi" panose="020F0502020204030204" pitchFamily="34" charset="0"/>
            </a:rPr>
            <a:t>Hired Transportation</a:t>
          </a:r>
        </a:p>
      </xdr:txBody>
    </xdr:sp>
    <xdr:clientData/>
  </xdr:twoCellAnchor>
  <xdr:twoCellAnchor>
    <xdr:from>
      <xdr:col>21</xdr:col>
      <xdr:colOff>676275</xdr:colOff>
      <xdr:row>9</xdr:row>
      <xdr:rowOff>28575</xdr:rowOff>
    </xdr:from>
    <xdr:to>
      <xdr:col>22</xdr:col>
      <xdr:colOff>266700</xdr:colOff>
      <xdr:row>10</xdr:row>
      <xdr:rowOff>102869</xdr:rowOff>
    </xdr:to>
    <xdr:sp macro="" textlink="Pivottables!H6">
      <xdr:nvSpPr>
        <xdr:cNvPr id="55" name="TextBox 54">
          <a:extLst>
            <a:ext uri="{FF2B5EF4-FFF2-40B4-BE49-F238E27FC236}">
              <a16:creationId xmlns:a16="http://schemas.microsoft.com/office/drawing/2014/main" id="{26FDE72F-121E-47D0-A4D4-736DFA4432EC}"/>
            </a:ext>
          </a:extLst>
        </xdr:cNvPr>
        <xdr:cNvSpPr txBox="1"/>
      </xdr:nvSpPr>
      <xdr:spPr>
        <a:xfrm>
          <a:off x="15078075" y="1828800"/>
          <a:ext cx="276225"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9B042D1-9680-44B7-8E98-FFC416C4137A}" type="TxLink">
            <a:rPr lang="en-US" sz="1400" b="0" i="0" u="none" strike="noStrike">
              <a:solidFill>
                <a:srgbClr val="FF0000"/>
              </a:solidFill>
              <a:latin typeface="Abadi" panose="020B0604020104020204" pitchFamily="34" charset="0"/>
              <a:ea typeface="Calibri"/>
              <a:cs typeface="Calibri"/>
            </a:rPr>
            <a:pPr marL="0" indent="0" algn="ctr"/>
            <a:t>5</a:t>
          </a:fld>
          <a:endParaRPr lang="en-US" sz="2400">
            <a:solidFill>
              <a:srgbClr val="FF0000"/>
            </a:solidFill>
            <a:latin typeface="Abadi" panose="020B0604020104020204" pitchFamily="34" charset="0"/>
            <a:ea typeface="+mn-ea"/>
            <a:cs typeface="+mn-cs"/>
          </a:endParaRPr>
        </a:p>
      </xdr:txBody>
    </xdr:sp>
    <xdr:clientData/>
  </xdr:twoCellAnchor>
  <xdr:twoCellAnchor>
    <xdr:from>
      <xdr:col>22</xdr:col>
      <xdr:colOff>504825</xdr:colOff>
      <xdr:row>8</xdr:row>
      <xdr:rowOff>106681</xdr:rowOff>
    </xdr:from>
    <xdr:to>
      <xdr:col>23</xdr:col>
      <xdr:colOff>638175</xdr:colOff>
      <xdr:row>8</xdr:row>
      <xdr:rowOff>152400</xdr:rowOff>
    </xdr:to>
    <xdr:sp macro="" textlink="">
      <xdr:nvSpPr>
        <xdr:cNvPr id="60" name="Oval 59">
          <a:extLst>
            <a:ext uri="{FF2B5EF4-FFF2-40B4-BE49-F238E27FC236}">
              <a16:creationId xmlns:a16="http://schemas.microsoft.com/office/drawing/2014/main" id="{B32B4C67-0603-8326-FFC5-FD227159BA56}"/>
            </a:ext>
          </a:extLst>
        </xdr:cNvPr>
        <xdr:cNvSpPr/>
      </xdr:nvSpPr>
      <xdr:spPr>
        <a:xfrm>
          <a:off x="15592425" y="1706881"/>
          <a:ext cx="819150" cy="45719"/>
        </a:xfrm>
        <a:prstGeom prst="ellipse">
          <a:avLst/>
        </a:prstGeom>
        <a:effectLst>
          <a:outerShdw blurRad="101600" dist="190500" dir="54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22</xdr:col>
      <xdr:colOff>289778</xdr:colOff>
      <xdr:row>5</xdr:row>
      <xdr:rowOff>86225</xdr:rowOff>
    </xdr:from>
    <xdr:to>
      <xdr:col>24</xdr:col>
      <xdr:colOff>114300</xdr:colOff>
      <xdr:row>9</xdr:row>
      <xdr:rowOff>123825</xdr:rowOff>
    </xdr:to>
    <xdr:pic>
      <xdr:nvPicPr>
        <xdr:cNvPr id="59" name="Picture 58">
          <a:extLst>
            <a:ext uri="{FF2B5EF4-FFF2-40B4-BE49-F238E27FC236}">
              <a16:creationId xmlns:a16="http://schemas.microsoft.com/office/drawing/2014/main" id="{4FC8F8A0-120B-7CF1-DF64-9B7A9683FDB2}"/>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34049" r="59437" b="37528"/>
        <a:stretch>
          <a:fillRect/>
        </a:stretch>
      </xdr:blipFill>
      <xdr:spPr>
        <a:xfrm>
          <a:off x="15377378" y="1086350"/>
          <a:ext cx="1196122" cy="837700"/>
        </a:xfrm>
        <a:prstGeom prst="rect">
          <a:avLst/>
        </a:prstGeom>
      </xdr:spPr>
    </xdr:pic>
    <xdr:clientData/>
  </xdr:twoCellAnchor>
  <xdr:twoCellAnchor>
    <xdr:from>
      <xdr:col>21</xdr:col>
      <xdr:colOff>354330</xdr:colOff>
      <xdr:row>9</xdr:row>
      <xdr:rowOff>28575</xdr:rowOff>
    </xdr:from>
    <xdr:to>
      <xdr:col>23</xdr:col>
      <xdr:colOff>409576</xdr:colOff>
      <xdr:row>10</xdr:row>
      <xdr:rowOff>102869</xdr:rowOff>
    </xdr:to>
    <xdr:sp macro="" textlink="">
      <xdr:nvSpPr>
        <xdr:cNvPr id="61" name="TextBox 60">
          <a:extLst>
            <a:ext uri="{FF2B5EF4-FFF2-40B4-BE49-F238E27FC236}">
              <a16:creationId xmlns:a16="http://schemas.microsoft.com/office/drawing/2014/main" id="{7DF610DA-0200-4340-9403-7D93CF825A9C}"/>
            </a:ext>
          </a:extLst>
        </xdr:cNvPr>
        <xdr:cNvSpPr txBox="1"/>
      </xdr:nvSpPr>
      <xdr:spPr>
        <a:xfrm>
          <a:off x="14756130" y="1828800"/>
          <a:ext cx="1426846"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rgbClr val="FF0000"/>
              </a:solidFill>
              <a:latin typeface="Abadi" panose="020F0502020204030204" pitchFamily="34" charset="0"/>
            </a:rPr>
            <a:t>Trips</a:t>
          </a:r>
        </a:p>
      </xdr:txBody>
    </xdr:sp>
    <xdr:clientData/>
  </xdr:twoCellAnchor>
  <xdr:twoCellAnchor>
    <xdr:from>
      <xdr:col>0</xdr:col>
      <xdr:colOff>659130</xdr:colOff>
      <xdr:row>17</xdr:row>
      <xdr:rowOff>171450</xdr:rowOff>
    </xdr:from>
    <xdr:to>
      <xdr:col>2</xdr:col>
      <xdr:colOff>478154</xdr:colOff>
      <xdr:row>19</xdr:row>
      <xdr:rowOff>45719</xdr:rowOff>
    </xdr:to>
    <xdr:sp macro="" textlink="">
      <xdr:nvSpPr>
        <xdr:cNvPr id="62" name="TextBox 61">
          <a:extLst>
            <a:ext uri="{FF2B5EF4-FFF2-40B4-BE49-F238E27FC236}">
              <a16:creationId xmlns:a16="http://schemas.microsoft.com/office/drawing/2014/main" id="{C4602F1C-58C6-4C07-B042-4BFFBE389453}"/>
            </a:ext>
          </a:extLst>
        </xdr:cNvPr>
        <xdr:cNvSpPr txBox="1"/>
      </xdr:nvSpPr>
      <xdr:spPr>
        <a:xfrm>
          <a:off x="659130" y="3571875"/>
          <a:ext cx="1190624"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CF5C4A"/>
              </a:solidFill>
              <a:latin typeface="Abadi" panose="020F0502020204030204" pitchFamily="34" charset="0"/>
            </a:rPr>
            <a:t>Drivers</a:t>
          </a:r>
        </a:p>
      </xdr:txBody>
    </xdr:sp>
    <xdr:clientData/>
  </xdr:twoCellAnchor>
  <xdr:twoCellAnchor>
    <xdr:from>
      <xdr:col>0</xdr:col>
      <xdr:colOff>668655</xdr:colOff>
      <xdr:row>30</xdr:row>
      <xdr:rowOff>85725</xdr:rowOff>
    </xdr:from>
    <xdr:to>
      <xdr:col>2</xdr:col>
      <xdr:colOff>487679</xdr:colOff>
      <xdr:row>31</xdr:row>
      <xdr:rowOff>160019</xdr:rowOff>
    </xdr:to>
    <xdr:sp macro="" textlink="">
      <xdr:nvSpPr>
        <xdr:cNvPr id="63" name="TextBox 62">
          <a:extLst>
            <a:ext uri="{FF2B5EF4-FFF2-40B4-BE49-F238E27FC236}">
              <a16:creationId xmlns:a16="http://schemas.microsoft.com/office/drawing/2014/main" id="{77ECCB4E-B746-4747-8204-36E826607306}"/>
            </a:ext>
          </a:extLst>
        </xdr:cNvPr>
        <xdr:cNvSpPr txBox="1"/>
      </xdr:nvSpPr>
      <xdr:spPr>
        <a:xfrm>
          <a:off x="668655" y="6086475"/>
          <a:ext cx="1190624"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CF5C4A"/>
              </a:solidFill>
              <a:latin typeface="Abadi" panose="020F0502020204030204" pitchFamily="34" charset="0"/>
            </a:rPr>
            <a:t>Months</a:t>
          </a:r>
        </a:p>
      </xdr:txBody>
    </xdr:sp>
    <xdr:clientData/>
  </xdr:twoCellAnchor>
  <xdr:twoCellAnchor editAs="oneCell">
    <xdr:from>
      <xdr:col>0</xdr:col>
      <xdr:colOff>676275</xdr:colOff>
      <xdr:row>32</xdr:row>
      <xdr:rowOff>85727</xdr:rowOff>
    </xdr:from>
    <xdr:to>
      <xdr:col>3</xdr:col>
      <xdr:colOff>523874</xdr:colOff>
      <xdr:row>42</xdr:row>
      <xdr:rowOff>11906</xdr:rowOff>
    </xdr:to>
    <mc:AlternateContent xmlns:mc="http://schemas.openxmlformats.org/markup-compatibility/2006" xmlns:a14="http://schemas.microsoft.com/office/drawing/2010/main">
      <mc:Choice Requires="a14">
        <xdr:graphicFrame macro="">
          <xdr:nvGraphicFramePr>
            <xdr:cNvPr id="64" name="Month">
              <a:extLst>
                <a:ext uri="{FF2B5EF4-FFF2-40B4-BE49-F238E27FC236}">
                  <a16:creationId xmlns:a16="http://schemas.microsoft.com/office/drawing/2014/main" id="{A9D294C4-4F73-4F02-8598-F5E6784D24E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76275" y="6486527"/>
              <a:ext cx="1904999" cy="17049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11430</xdr:colOff>
      <xdr:row>19</xdr:row>
      <xdr:rowOff>66673</xdr:rowOff>
    </xdr:from>
    <xdr:to>
      <xdr:col>3</xdr:col>
      <xdr:colOff>521208</xdr:colOff>
      <xdr:row>27</xdr:row>
      <xdr:rowOff>11906</xdr:rowOff>
    </xdr:to>
    <mc:AlternateContent xmlns:mc="http://schemas.openxmlformats.org/markup-compatibility/2006">
      <mc:Choice xmlns:a14="http://schemas.microsoft.com/office/drawing/2010/main" Requires="a14">
        <xdr:graphicFrame macro="">
          <xdr:nvGraphicFramePr>
            <xdr:cNvPr id="65" name="Driver">
              <a:extLst>
                <a:ext uri="{FF2B5EF4-FFF2-40B4-BE49-F238E27FC236}">
                  <a16:creationId xmlns:a16="http://schemas.microsoft.com/office/drawing/2014/main" id="{22C598B4-3ACF-45EB-BABE-F812356236F0}"/>
                </a:ext>
              </a:extLst>
            </xdr:cNvPr>
            <xdr:cNvGraphicFramePr/>
          </xdr:nvGraphicFramePr>
          <xdr:xfrm>
            <a:off x="0" y="0"/>
            <a:ext cx="0" cy="0"/>
          </xdr:xfrm>
          <a:graphic>
            <a:graphicData uri="http://schemas.microsoft.com/office/drawing/2010/slicer">
              <sle:slicer xmlns:sle="http://schemas.microsoft.com/office/drawing/2010/slicer" name="Driver"/>
            </a:graphicData>
          </a:graphic>
        </xdr:graphicFrame>
      </mc:Choice>
      <mc:Fallback>
        <xdr:sp macro="" textlink="">
          <xdr:nvSpPr>
            <xdr:cNvPr id="0" name=""/>
            <xdr:cNvSpPr>
              <a:spLocks noTextEdit="1"/>
            </xdr:cNvSpPr>
          </xdr:nvSpPr>
          <xdr:spPr>
            <a:xfrm>
              <a:off x="1392555" y="3912392"/>
              <a:ext cx="1200341" cy="15644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123956</xdr:colOff>
      <xdr:row>20</xdr:row>
      <xdr:rowOff>181983</xdr:rowOff>
    </xdr:from>
    <xdr:to>
      <xdr:col>1</xdr:col>
      <xdr:colOff>672596</xdr:colOff>
      <xdr:row>23</xdr:row>
      <xdr:rowOff>133679</xdr:rowOff>
    </xdr:to>
    <xdr:sp macro="" textlink="">
      <xdr:nvSpPr>
        <xdr:cNvPr id="72" name="Flowchart: Connector 71">
          <a:extLst>
            <a:ext uri="{FF2B5EF4-FFF2-40B4-BE49-F238E27FC236}">
              <a16:creationId xmlns:a16="http://schemas.microsoft.com/office/drawing/2014/main" id="{1765360B-00F4-1A23-4FE5-3C0D565561A2}"/>
            </a:ext>
          </a:extLst>
        </xdr:cNvPr>
        <xdr:cNvSpPr/>
      </xdr:nvSpPr>
      <xdr:spPr>
        <a:xfrm>
          <a:off x="810642" y="4169192"/>
          <a:ext cx="548640" cy="549778"/>
        </a:xfrm>
        <a:prstGeom prst="flowChartConnector">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123043</xdr:colOff>
      <xdr:row>20</xdr:row>
      <xdr:rowOff>170830</xdr:rowOff>
    </xdr:from>
    <xdr:to>
      <xdr:col>1</xdr:col>
      <xdr:colOff>671683</xdr:colOff>
      <xdr:row>23</xdr:row>
      <xdr:rowOff>122526</xdr:rowOff>
    </xdr:to>
    <xdr:sp macro="" textlink="">
      <xdr:nvSpPr>
        <xdr:cNvPr id="73" name="Flowchart: Connector 72">
          <a:extLst>
            <a:ext uri="{FF2B5EF4-FFF2-40B4-BE49-F238E27FC236}">
              <a16:creationId xmlns:a16="http://schemas.microsoft.com/office/drawing/2014/main" id="{F1447909-59D4-4704-A611-45216BDFAC54}"/>
            </a:ext>
          </a:extLst>
        </xdr:cNvPr>
        <xdr:cNvSpPr/>
      </xdr:nvSpPr>
      <xdr:spPr>
        <a:xfrm>
          <a:off x="813606" y="4218955"/>
          <a:ext cx="548640" cy="558915"/>
        </a:xfrm>
        <a:prstGeom prst="flowChartConnector">
          <a:avLst/>
        </a:prstGeom>
        <a:blipFill dpi="0" rotWithShape="1">
          <a:blip xmlns:r="http://schemas.openxmlformats.org/officeDocument/2006/relationships" r:embed="rId8" cstate="print">
            <a:extLst>
              <a:ext uri="{28A0092B-C50C-407E-A947-70E740481C1C}">
                <a14:useLocalDpi xmlns:a14="http://schemas.microsoft.com/office/drawing/2010/main" val="0"/>
              </a:ext>
            </a:extLst>
          </a:blip>
          <a:srcRect/>
          <a:stretch>
            <a:fillRect/>
          </a:stretch>
        </a:blipFill>
        <a:ln>
          <a:solidFill>
            <a:srgbClr val="48515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95249</xdr:colOff>
      <xdr:row>12</xdr:row>
      <xdr:rowOff>54293</xdr:rowOff>
    </xdr:from>
    <xdr:to>
      <xdr:col>24</xdr:col>
      <xdr:colOff>95249</xdr:colOff>
      <xdr:row>32</xdr:row>
      <xdr:rowOff>77153</xdr:rowOff>
    </xdr:to>
    <xdr:sp macro="" textlink="">
      <xdr:nvSpPr>
        <xdr:cNvPr id="77" name="Rectangle: Rounded Corners 76">
          <a:extLst>
            <a:ext uri="{FF2B5EF4-FFF2-40B4-BE49-F238E27FC236}">
              <a16:creationId xmlns:a16="http://schemas.microsoft.com/office/drawing/2014/main" id="{578473B8-2CB3-903C-CFA0-90E0BE9B25BD}"/>
            </a:ext>
          </a:extLst>
        </xdr:cNvPr>
        <xdr:cNvSpPr/>
      </xdr:nvSpPr>
      <xdr:spPr>
        <a:xfrm>
          <a:off x="13811249" y="2454593"/>
          <a:ext cx="2743200" cy="4023360"/>
        </a:xfrm>
        <a:prstGeom prst="roundRect">
          <a:avLst>
            <a:gd name="adj" fmla="val 4862"/>
          </a:avLst>
        </a:prstGeom>
        <a:solidFill>
          <a:srgbClr val="FAFA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104777</xdr:colOff>
      <xdr:row>13</xdr:row>
      <xdr:rowOff>57152</xdr:rowOff>
    </xdr:from>
    <xdr:to>
      <xdr:col>22</xdr:col>
      <xdr:colOff>287657</xdr:colOff>
      <xdr:row>20</xdr:row>
      <xdr:rowOff>28577</xdr:rowOff>
    </xdr:to>
    <xdr:graphicFrame macro="">
      <xdr:nvGraphicFramePr>
        <xdr:cNvPr id="78" name="Chart 77">
          <a:extLst>
            <a:ext uri="{FF2B5EF4-FFF2-40B4-BE49-F238E27FC236}">
              <a16:creationId xmlns:a16="http://schemas.microsoft.com/office/drawing/2014/main" id="{029B9565-7DEF-4647-952E-5D8D1991D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200024</xdr:colOff>
      <xdr:row>13</xdr:row>
      <xdr:rowOff>57150</xdr:rowOff>
    </xdr:from>
    <xdr:to>
      <xdr:col>22</xdr:col>
      <xdr:colOff>200024</xdr:colOff>
      <xdr:row>20</xdr:row>
      <xdr:rowOff>28575</xdr:rowOff>
    </xdr:to>
    <xdr:sp macro="" textlink="">
      <xdr:nvSpPr>
        <xdr:cNvPr id="79" name="Circle: Hollow 78">
          <a:extLst>
            <a:ext uri="{FF2B5EF4-FFF2-40B4-BE49-F238E27FC236}">
              <a16:creationId xmlns:a16="http://schemas.microsoft.com/office/drawing/2014/main" id="{8C77ED07-73C8-B51E-E1EB-D66ABD0F98CD}"/>
            </a:ext>
          </a:extLst>
        </xdr:cNvPr>
        <xdr:cNvSpPr/>
      </xdr:nvSpPr>
      <xdr:spPr>
        <a:xfrm>
          <a:off x="13916024" y="2657475"/>
          <a:ext cx="1371600" cy="1371600"/>
        </a:xfrm>
        <a:prstGeom prst="donut">
          <a:avLst>
            <a:gd name="adj" fmla="val 4776"/>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solidFill>
              <a:schemeClr val="tx1"/>
            </a:solidFill>
          </a:endParaRPr>
        </a:p>
      </xdr:txBody>
    </xdr:sp>
    <xdr:clientData/>
  </xdr:twoCellAnchor>
  <xdr:twoCellAnchor>
    <xdr:from>
      <xdr:col>22</xdr:col>
      <xdr:colOff>285221</xdr:colOff>
      <xdr:row>14</xdr:row>
      <xdr:rowOff>79375</xdr:rowOff>
    </xdr:from>
    <xdr:to>
      <xdr:col>24</xdr:col>
      <xdr:colOff>270925</xdr:colOff>
      <xdr:row>19</xdr:row>
      <xdr:rowOff>96519</xdr:rowOff>
    </xdr:to>
    <xdr:grpSp>
      <xdr:nvGrpSpPr>
        <xdr:cNvPr id="85" name="Group 84">
          <a:extLst>
            <a:ext uri="{FF2B5EF4-FFF2-40B4-BE49-F238E27FC236}">
              <a16:creationId xmlns:a16="http://schemas.microsoft.com/office/drawing/2014/main" id="{51304457-1E7F-4DD3-B5B3-7F6261C3D78E}"/>
            </a:ext>
          </a:extLst>
        </xdr:cNvPr>
        <xdr:cNvGrpSpPr/>
      </xdr:nvGrpSpPr>
      <xdr:grpSpPr>
        <a:xfrm>
          <a:off x="15477596" y="2913063"/>
          <a:ext cx="1366829" cy="1029175"/>
          <a:chOff x="15268751" y="2879725"/>
          <a:chExt cx="1233917" cy="1017269"/>
        </a:xfrm>
      </xdr:grpSpPr>
      <xdr:sp macro="" textlink="Pivottables!O5">
        <xdr:nvSpPr>
          <xdr:cNvPr id="86" name="TextBox 85">
            <a:extLst>
              <a:ext uri="{FF2B5EF4-FFF2-40B4-BE49-F238E27FC236}">
                <a16:creationId xmlns:a16="http://schemas.microsoft.com/office/drawing/2014/main" id="{D2714AF1-3F68-DA66-03D0-FC90B52BF3D7}"/>
              </a:ext>
            </a:extLst>
          </xdr:cNvPr>
          <xdr:cNvSpPr txBox="1"/>
        </xdr:nvSpPr>
        <xdr:spPr>
          <a:xfrm>
            <a:off x="15268751" y="2879725"/>
            <a:ext cx="1190624"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C6887A6-2005-4A46-ADBA-745B70921090}" type="TxLink">
              <a:rPr lang="en-US" sz="1400" b="0" i="0" u="none" strike="noStrike">
                <a:solidFill>
                  <a:srgbClr val="48515F"/>
                </a:solidFill>
                <a:latin typeface="Abadi" panose="020B0604020104020204" pitchFamily="34" charset="0"/>
                <a:ea typeface="Calibri"/>
                <a:cs typeface="Calibri"/>
              </a:rPr>
              <a:pPr algn="l"/>
              <a:t>16</a:t>
            </a:fld>
            <a:endParaRPr lang="en-GB" sz="1400">
              <a:solidFill>
                <a:srgbClr val="48515F"/>
              </a:solidFill>
              <a:latin typeface="Abadi" panose="020B0604020104020204" pitchFamily="34" charset="0"/>
            </a:endParaRPr>
          </a:p>
        </xdr:txBody>
      </xdr:sp>
      <xdr:sp macro="" textlink="Pivottables!O7">
        <xdr:nvSpPr>
          <xdr:cNvPr id="87" name="TextBox 86">
            <a:extLst>
              <a:ext uri="{FF2B5EF4-FFF2-40B4-BE49-F238E27FC236}">
                <a16:creationId xmlns:a16="http://schemas.microsoft.com/office/drawing/2014/main" id="{13FF75E5-A4AB-C30E-932A-AFCC3531C684}"/>
              </a:ext>
            </a:extLst>
          </xdr:cNvPr>
          <xdr:cNvSpPr txBox="1"/>
        </xdr:nvSpPr>
        <xdr:spPr>
          <a:xfrm>
            <a:off x="15312044" y="3251200"/>
            <a:ext cx="1190624"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55680DB-8021-47C7-B134-3F52E4AC2AFC}" type="TxLink">
              <a:rPr lang="en-US" sz="1400" b="0" i="0" u="none" strike="noStrike">
                <a:solidFill>
                  <a:srgbClr val="48515F"/>
                </a:solidFill>
                <a:latin typeface="Abadi" panose="020B0604020104020204" pitchFamily="34" charset="0"/>
                <a:ea typeface="Calibri"/>
                <a:cs typeface="Calibri"/>
              </a:rPr>
              <a:pPr algn="l"/>
              <a:t>2</a:t>
            </a:fld>
            <a:endParaRPr lang="en-GB" sz="1400">
              <a:solidFill>
                <a:srgbClr val="48515F"/>
              </a:solidFill>
              <a:latin typeface="Abadi" panose="020B0604020104020204" pitchFamily="34" charset="0"/>
            </a:endParaRPr>
          </a:p>
        </xdr:txBody>
      </xdr:sp>
      <xdr:sp macro="" textlink="Pivottables!O6">
        <xdr:nvSpPr>
          <xdr:cNvPr id="88" name="TextBox 87">
            <a:extLst>
              <a:ext uri="{FF2B5EF4-FFF2-40B4-BE49-F238E27FC236}">
                <a16:creationId xmlns:a16="http://schemas.microsoft.com/office/drawing/2014/main" id="{9FA729C5-615B-6E88-C545-379B2767B4D9}"/>
              </a:ext>
            </a:extLst>
          </xdr:cNvPr>
          <xdr:cNvSpPr txBox="1"/>
        </xdr:nvSpPr>
        <xdr:spPr>
          <a:xfrm>
            <a:off x="15312044" y="3622675"/>
            <a:ext cx="1190624"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78945A6-7309-46C3-9966-D48CED3435D1}" type="TxLink">
              <a:rPr lang="en-US" sz="1400" b="0" i="0" u="none" strike="noStrike">
                <a:solidFill>
                  <a:srgbClr val="48515F"/>
                </a:solidFill>
                <a:latin typeface="Abadi" panose="020B0604020104020204" pitchFamily="34" charset="0"/>
                <a:ea typeface="Calibri"/>
                <a:cs typeface="Calibri"/>
              </a:rPr>
              <a:pPr algn="l"/>
              <a:t>6</a:t>
            </a:fld>
            <a:endParaRPr lang="en-GB" sz="1400">
              <a:solidFill>
                <a:srgbClr val="48515F"/>
              </a:solidFill>
              <a:latin typeface="Abadi" panose="020B0604020104020204" pitchFamily="34" charset="0"/>
            </a:endParaRPr>
          </a:p>
        </xdr:txBody>
      </xdr:sp>
    </xdr:grpSp>
    <xdr:clientData/>
  </xdr:twoCellAnchor>
  <xdr:twoCellAnchor>
    <xdr:from>
      <xdr:col>22</xdr:col>
      <xdr:colOff>668655</xdr:colOff>
      <xdr:row>14</xdr:row>
      <xdr:rowOff>79375</xdr:rowOff>
    </xdr:from>
    <xdr:to>
      <xdr:col>24</xdr:col>
      <xdr:colOff>487679</xdr:colOff>
      <xdr:row>19</xdr:row>
      <xdr:rowOff>96519</xdr:rowOff>
    </xdr:to>
    <xdr:grpSp>
      <xdr:nvGrpSpPr>
        <xdr:cNvPr id="84" name="Group 83">
          <a:extLst>
            <a:ext uri="{FF2B5EF4-FFF2-40B4-BE49-F238E27FC236}">
              <a16:creationId xmlns:a16="http://schemas.microsoft.com/office/drawing/2014/main" id="{94DBA907-E2D2-98B2-3B73-458E3FD553E8}"/>
            </a:ext>
          </a:extLst>
        </xdr:cNvPr>
        <xdr:cNvGrpSpPr/>
      </xdr:nvGrpSpPr>
      <xdr:grpSpPr>
        <a:xfrm>
          <a:off x="15861030" y="2913063"/>
          <a:ext cx="1200149" cy="1029175"/>
          <a:chOff x="15346680" y="2879725"/>
          <a:chExt cx="1190624" cy="1017269"/>
        </a:xfrm>
      </xdr:grpSpPr>
      <xdr:sp macro="" textlink="">
        <xdr:nvSpPr>
          <xdr:cNvPr id="80" name="TextBox 79">
            <a:extLst>
              <a:ext uri="{FF2B5EF4-FFF2-40B4-BE49-F238E27FC236}">
                <a16:creationId xmlns:a16="http://schemas.microsoft.com/office/drawing/2014/main" id="{BB126041-7056-4517-B9D6-2F160E5205C2}"/>
              </a:ext>
            </a:extLst>
          </xdr:cNvPr>
          <xdr:cNvSpPr txBox="1"/>
        </xdr:nvSpPr>
        <xdr:spPr>
          <a:xfrm>
            <a:off x="15346680" y="2879725"/>
            <a:ext cx="1190624"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chemeClr val="accent1"/>
                </a:solidFill>
                <a:latin typeface="Abadi" panose="020F0502020204030204" pitchFamily="34" charset="0"/>
              </a:rPr>
              <a:t>Close</a:t>
            </a:r>
          </a:p>
        </xdr:txBody>
      </xdr:sp>
      <xdr:sp macro="" textlink="">
        <xdr:nvSpPr>
          <xdr:cNvPr id="81" name="TextBox 80">
            <a:extLst>
              <a:ext uri="{FF2B5EF4-FFF2-40B4-BE49-F238E27FC236}">
                <a16:creationId xmlns:a16="http://schemas.microsoft.com/office/drawing/2014/main" id="{849A69DD-067C-4203-A465-CDFA3945AB53}"/>
              </a:ext>
            </a:extLst>
          </xdr:cNvPr>
          <xdr:cNvSpPr txBox="1"/>
        </xdr:nvSpPr>
        <xdr:spPr>
          <a:xfrm>
            <a:off x="15346680" y="3251200"/>
            <a:ext cx="1190624"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chemeClr val="accent2"/>
                </a:solidFill>
                <a:latin typeface="Abadi" panose="020F0502020204030204" pitchFamily="34" charset="0"/>
              </a:rPr>
              <a:t>Regular</a:t>
            </a:r>
          </a:p>
        </xdr:txBody>
      </xdr:sp>
      <xdr:sp macro="" textlink="">
        <xdr:nvSpPr>
          <xdr:cNvPr id="82" name="TextBox 81">
            <a:extLst>
              <a:ext uri="{FF2B5EF4-FFF2-40B4-BE49-F238E27FC236}">
                <a16:creationId xmlns:a16="http://schemas.microsoft.com/office/drawing/2014/main" id="{FC9A31D0-C511-4558-855C-E4C5B7B37167}"/>
              </a:ext>
            </a:extLst>
          </xdr:cNvPr>
          <xdr:cNvSpPr txBox="1"/>
        </xdr:nvSpPr>
        <xdr:spPr>
          <a:xfrm>
            <a:off x="15346680" y="3622675"/>
            <a:ext cx="1190624"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chemeClr val="accent3"/>
                </a:solidFill>
                <a:latin typeface="Abadi" panose="020F0502020204030204" pitchFamily="34" charset="0"/>
              </a:rPr>
              <a:t>Far</a:t>
            </a:r>
          </a:p>
        </xdr:txBody>
      </xdr:sp>
    </xdr:grpSp>
    <xdr:clientData/>
  </xdr:twoCellAnchor>
  <xdr:twoCellAnchor>
    <xdr:from>
      <xdr:col>20</xdr:col>
      <xdr:colOff>623</xdr:colOff>
      <xdr:row>23</xdr:row>
      <xdr:rowOff>160056</xdr:rowOff>
    </xdr:from>
    <xdr:to>
      <xdr:col>24</xdr:col>
      <xdr:colOff>183503</xdr:colOff>
      <xdr:row>31</xdr:row>
      <xdr:rowOff>83857</xdr:rowOff>
    </xdr:to>
    <xdr:graphicFrame macro="">
      <xdr:nvGraphicFramePr>
        <xdr:cNvPr id="89" name="Chart 88">
          <a:extLst>
            <a:ext uri="{FF2B5EF4-FFF2-40B4-BE49-F238E27FC236}">
              <a16:creationId xmlns:a16="http://schemas.microsoft.com/office/drawing/2014/main" id="{8BA5E15A-204B-4FB4-ADB7-57AD7AC95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192404</xdr:colOff>
      <xdr:row>22</xdr:row>
      <xdr:rowOff>6350</xdr:rowOff>
    </xdr:from>
    <xdr:to>
      <xdr:col>24</xdr:col>
      <xdr:colOff>190499</xdr:colOff>
      <xdr:row>24</xdr:row>
      <xdr:rowOff>38100</xdr:rowOff>
    </xdr:to>
    <xdr:sp macro="" textlink="">
      <xdr:nvSpPr>
        <xdr:cNvPr id="90" name="TextBox 89">
          <a:extLst>
            <a:ext uri="{FF2B5EF4-FFF2-40B4-BE49-F238E27FC236}">
              <a16:creationId xmlns:a16="http://schemas.microsoft.com/office/drawing/2014/main" id="{E81FF0EC-DBEE-4389-A348-8BE7C9ECAB90}"/>
            </a:ext>
          </a:extLst>
        </xdr:cNvPr>
        <xdr:cNvSpPr txBox="1"/>
      </xdr:nvSpPr>
      <xdr:spPr>
        <a:xfrm>
          <a:off x="13908404" y="4406900"/>
          <a:ext cx="2741295"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48515F"/>
              </a:solidFill>
              <a:latin typeface="Abadi" panose="020F0502020204030204" pitchFamily="34" charset="0"/>
            </a:rPr>
            <a:t>Driver</a:t>
          </a:r>
          <a:r>
            <a:rPr lang="en-GB" sz="1400" baseline="0">
              <a:solidFill>
                <a:srgbClr val="48515F"/>
              </a:solidFill>
              <a:latin typeface="Abadi" panose="020F0502020204030204" pitchFamily="34" charset="0"/>
            </a:rPr>
            <a:t> &amp;  Buddy Income </a:t>
          </a:r>
        </a:p>
        <a:p>
          <a:pPr algn="l"/>
          <a:r>
            <a:rPr lang="en-GB" sz="1000" baseline="0">
              <a:solidFill>
                <a:srgbClr val="48515F"/>
              </a:solidFill>
              <a:latin typeface="Abadi" panose="020F0502020204030204" pitchFamily="34" charset="0"/>
            </a:rPr>
            <a:t>Per Trip Classify</a:t>
          </a:r>
          <a:endParaRPr lang="en-GB" sz="1000">
            <a:solidFill>
              <a:srgbClr val="48515F"/>
            </a:solidFill>
            <a:latin typeface="Abadi" panose="020F0502020204030204" pitchFamily="34" charset="0"/>
          </a:endParaRPr>
        </a:p>
      </xdr:txBody>
    </xdr:sp>
    <xdr:clientData/>
  </xdr:twoCellAnchor>
  <xdr:twoCellAnchor>
    <xdr:from>
      <xdr:col>20</xdr:col>
      <xdr:colOff>240350</xdr:colOff>
      <xdr:row>22</xdr:row>
      <xdr:rowOff>80117</xdr:rowOff>
    </xdr:from>
    <xdr:to>
      <xdr:col>20</xdr:col>
      <xdr:colOff>240974</xdr:colOff>
      <xdr:row>23</xdr:row>
      <xdr:rowOff>28575</xdr:rowOff>
    </xdr:to>
    <xdr:cxnSp macro="">
      <xdr:nvCxnSpPr>
        <xdr:cNvPr id="92" name="Straight Connector 91">
          <a:extLst>
            <a:ext uri="{FF2B5EF4-FFF2-40B4-BE49-F238E27FC236}">
              <a16:creationId xmlns:a16="http://schemas.microsoft.com/office/drawing/2014/main" id="{13427643-7C3F-E09B-8FBD-F7D15C027F34}"/>
            </a:ext>
          </a:extLst>
        </xdr:cNvPr>
        <xdr:cNvCxnSpPr/>
      </xdr:nvCxnSpPr>
      <xdr:spPr>
        <a:xfrm>
          <a:off x="13949229" y="4486542"/>
          <a:ext cx="624" cy="148750"/>
        </a:xfrm>
        <a:prstGeom prst="line">
          <a:avLst/>
        </a:prstGeom>
        <a:ln w="28575">
          <a:solidFill>
            <a:srgbClr val="4851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303732</xdr:colOff>
      <xdr:row>22</xdr:row>
      <xdr:rowOff>76734</xdr:rowOff>
    </xdr:from>
    <xdr:to>
      <xdr:col>21</xdr:col>
      <xdr:colOff>304356</xdr:colOff>
      <xdr:row>23</xdr:row>
      <xdr:rowOff>25192</xdr:rowOff>
    </xdr:to>
    <xdr:cxnSp macro="">
      <xdr:nvCxnSpPr>
        <xdr:cNvPr id="94" name="Straight Connector 93">
          <a:extLst>
            <a:ext uri="{FF2B5EF4-FFF2-40B4-BE49-F238E27FC236}">
              <a16:creationId xmlns:a16="http://schemas.microsoft.com/office/drawing/2014/main" id="{B38730A7-E0B4-4858-A0FB-85505C6FF482}"/>
            </a:ext>
          </a:extLst>
        </xdr:cNvPr>
        <xdr:cNvCxnSpPr/>
      </xdr:nvCxnSpPr>
      <xdr:spPr>
        <a:xfrm>
          <a:off x="14698054" y="4483159"/>
          <a:ext cx="624" cy="148750"/>
        </a:xfrm>
        <a:prstGeom prst="line">
          <a:avLst/>
        </a:prstGeom>
        <a:ln w="28575">
          <a:solidFill>
            <a:srgbClr val="ECCD5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114299</xdr:colOff>
      <xdr:row>33</xdr:row>
      <xdr:rowOff>142875</xdr:rowOff>
    </xdr:from>
    <xdr:to>
      <xdr:col>24</xdr:col>
      <xdr:colOff>114299</xdr:colOff>
      <xdr:row>43</xdr:row>
      <xdr:rowOff>76200</xdr:rowOff>
    </xdr:to>
    <xdr:sp macro="" textlink="">
      <xdr:nvSpPr>
        <xdr:cNvPr id="95" name="Rectangle: Rounded Corners 94">
          <a:extLst>
            <a:ext uri="{FF2B5EF4-FFF2-40B4-BE49-F238E27FC236}">
              <a16:creationId xmlns:a16="http://schemas.microsoft.com/office/drawing/2014/main" id="{7E37795A-ECA4-481E-A4AD-697571866F68}"/>
            </a:ext>
          </a:extLst>
        </xdr:cNvPr>
        <xdr:cNvSpPr/>
      </xdr:nvSpPr>
      <xdr:spPr>
        <a:xfrm>
          <a:off x="13830299" y="6743700"/>
          <a:ext cx="2743200" cy="1933575"/>
        </a:xfrm>
        <a:prstGeom prst="roundRect">
          <a:avLst>
            <a:gd name="adj" fmla="val 4862"/>
          </a:avLst>
        </a:prstGeom>
        <a:solidFill>
          <a:srgbClr val="FAFA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125729</xdr:colOff>
      <xdr:row>33</xdr:row>
      <xdr:rowOff>158750</xdr:rowOff>
    </xdr:from>
    <xdr:to>
      <xdr:col>24</xdr:col>
      <xdr:colOff>123824</xdr:colOff>
      <xdr:row>35</xdr:row>
      <xdr:rowOff>190500</xdr:rowOff>
    </xdr:to>
    <xdr:sp macro="" textlink="">
      <xdr:nvSpPr>
        <xdr:cNvPr id="96" name="TextBox 95">
          <a:extLst>
            <a:ext uri="{FF2B5EF4-FFF2-40B4-BE49-F238E27FC236}">
              <a16:creationId xmlns:a16="http://schemas.microsoft.com/office/drawing/2014/main" id="{3EFF9566-0CCF-4AE4-A994-8FDC4C1C8DBB}"/>
            </a:ext>
          </a:extLst>
        </xdr:cNvPr>
        <xdr:cNvSpPr txBox="1"/>
      </xdr:nvSpPr>
      <xdr:spPr>
        <a:xfrm>
          <a:off x="13841729" y="6759575"/>
          <a:ext cx="2741295"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rgbClr val="48515F"/>
              </a:solidFill>
              <a:latin typeface="Abadi" panose="020F0502020204030204" pitchFamily="34" charset="0"/>
            </a:rPr>
            <a:t>Cargo Types</a:t>
          </a:r>
          <a:endParaRPr lang="en-GB" sz="1000">
            <a:solidFill>
              <a:srgbClr val="48515F"/>
            </a:solidFill>
            <a:latin typeface="Abadi" panose="020F0502020204030204" pitchFamily="34" charset="0"/>
          </a:endParaRPr>
        </a:p>
      </xdr:txBody>
    </xdr:sp>
    <xdr:clientData/>
  </xdr:twoCellAnchor>
  <xdr:twoCellAnchor>
    <xdr:from>
      <xdr:col>20</xdr:col>
      <xdr:colOff>171450</xdr:colOff>
      <xdr:row>35</xdr:row>
      <xdr:rowOff>142874</xdr:rowOff>
    </xdr:from>
    <xdr:to>
      <xdr:col>24</xdr:col>
      <xdr:colOff>38100</xdr:colOff>
      <xdr:row>42</xdr:row>
      <xdr:rowOff>76200</xdr:rowOff>
    </xdr:to>
    <xdr:graphicFrame macro="">
      <xdr:nvGraphicFramePr>
        <xdr:cNvPr id="98" name="Chart 97">
          <a:extLst>
            <a:ext uri="{FF2B5EF4-FFF2-40B4-BE49-F238E27FC236}">
              <a16:creationId xmlns:a16="http://schemas.microsoft.com/office/drawing/2014/main" id="{7250E462-8E24-4628-B0F9-903559CB0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497205</xdr:colOff>
      <xdr:row>12</xdr:row>
      <xdr:rowOff>0</xdr:rowOff>
    </xdr:from>
    <xdr:to>
      <xdr:col>6</xdr:col>
      <xdr:colOff>638175</xdr:colOff>
      <xdr:row>13</xdr:row>
      <xdr:rowOff>133350</xdr:rowOff>
    </xdr:to>
    <xdr:sp macro="" textlink="">
      <xdr:nvSpPr>
        <xdr:cNvPr id="99" name="TextBox 98">
          <a:extLst>
            <a:ext uri="{FF2B5EF4-FFF2-40B4-BE49-F238E27FC236}">
              <a16:creationId xmlns:a16="http://schemas.microsoft.com/office/drawing/2014/main" id="{AECCD60D-D6C4-4A48-A6AD-063C2BCEBE7D}"/>
            </a:ext>
          </a:extLst>
        </xdr:cNvPr>
        <xdr:cNvSpPr txBox="1"/>
      </xdr:nvSpPr>
      <xdr:spPr>
        <a:xfrm>
          <a:off x="3240405" y="2400300"/>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48515F"/>
              </a:solidFill>
              <a:latin typeface="Abadi" panose="020F0502020204030204" pitchFamily="34" charset="0"/>
            </a:rPr>
            <a:t>Total Expenses</a:t>
          </a:r>
        </a:p>
      </xdr:txBody>
    </xdr:sp>
    <xdr:clientData/>
  </xdr:twoCellAnchor>
  <xdr:twoCellAnchor>
    <xdr:from>
      <xdr:col>4</xdr:col>
      <xdr:colOff>430530</xdr:colOff>
      <xdr:row>14</xdr:row>
      <xdr:rowOff>42862</xdr:rowOff>
    </xdr:from>
    <xdr:to>
      <xdr:col>6</xdr:col>
      <xdr:colOff>571500</xdr:colOff>
      <xdr:row>15</xdr:row>
      <xdr:rowOff>176212</xdr:rowOff>
    </xdr:to>
    <xdr:sp macro="" textlink="Pivottables!AB5">
      <xdr:nvSpPr>
        <xdr:cNvPr id="100" name="TextBox 99">
          <a:extLst>
            <a:ext uri="{FF2B5EF4-FFF2-40B4-BE49-F238E27FC236}">
              <a16:creationId xmlns:a16="http://schemas.microsoft.com/office/drawing/2014/main" id="{01E4D814-AE91-460E-B463-14BEC9372B22}"/>
            </a:ext>
          </a:extLst>
        </xdr:cNvPr>
        <xdr:cNvSpPr txBox="1"/>
      </xdr:nvSpPr>
      <xdr:spPr>
        <a:xfrm>
          <a:off x="3173730" y="2843212"/>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C5338C-8706-489A-B2AC-52A7D2772C05}" type="TxLink">
            <a:rPr lang="en-US" sz="1800" b="0" i="0" u="none" strike="noStrike">
              <a:solidFill>
                <a:srgbClr val="000000"/>
              </a:solidFill>
              <a:latin typeface="Abadi" panose="020B0604020104020204" pitchFamily="34" charset="0"/>
              <a:ea typeface="Calibri"/>
              <a:cs typeface="Calibri"/>
            </a:rPr>
            <a:pPr marL="0" indent="0" algn="l"/>
            <a:t> RM27,200 </a:t>
          </a:fld>
          <a:endParaRPr lang="en-GB" sz="1800" b="0" i="0" u="none" strike="noStrike">
            <a:solidFill>
              <a:srgbClr val="000000"/>
            </a:solidFill>
            <a:latin typeface="Abadi" panose="020B0604020104020204" pitchFamily="34" charset="0"/>
            <a:ea typeface="Calibri"/>
            <a:cs typeface="Calibri"/>
          </a:endParaRPr>
        </a:p>
      </xdr:txBody>
    </xdr:sp>
    <xdr:clientData/>
  </xdr:twoCellAnchor>
  <xdr:twoCellAnchor>
    <xdr:from>
      <xdr:col>4</xdr:col>
      <xdr:colOff>506730</xdr:colOff>
      <xdr:row>15</xdr:row>
      <xdr:rowOff>47625</xdr:rowOff>
    </xdr:from>
    <xdr:to>
      <xdr:col>6</xdr:col>
      <xdr:colOff>647700</xdr:colOff>
      <xdr:row>16</xdr:row>
      <xdr:rowOff>180975</xdr:rowOff>
    </xdr:to>
    <xdr:sp macro="" textlink="">
      <xdr:nvSpPr>
        <xdr:cNvPr id="101" name="TextBox 100">
          <a:extLst>
            <a:ext uri="{FF2B5EF4-FFF2-40B4-BE49-F238E27FC236}">
              <a16:creationId xmlns:a16="http://schemas.microsoft.com/office/drawing/2014/main" id="{AF488ECF-91F2-48B6-9C89-12EB5D62D54E}"/>
            </a:ext>
          </a:extLst>
        </xdr:cNvPr>
        <xdr:cNvSpPr txBox="1"/>
      </xdr:nvSpPr>
      <xdr:spPr>
        <a:xfrm>
          <a:off x="3249930" y="3048000"/>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000">
              <a:solidFill>
                <a:srgbClr val="48515F"/>
              </a:solidFill>
              <a:latin typeface="Abadi" panose="020F0502020204030204" pitchFamily="34" charset="0"/>
            </a:rPr>
            <a:t>Ringgit </a:t>
          </a:r>
          <a:r>
            <a:rPr lang="en-GB" sz="1050">
              <a:solidFill>
                <a:srgbClr val="48515F"/>
              </a:solidFill>
              <a:latin typeface="Abadi" panose="020F0502020204030204" pitchFamily="34" charset="0"/>
            </a:rPr>
            <a:t>Malaysia</a:t>
          </a:r>
          <a:endParaRPr lang="en-GB" sz="1000">
            <a:solidFill>
              <a:srgbClr val="48515F"/>
            </a:solidFill>
            <a:latin typeface="Abadi" panose="020F0502020204030204" pitchFamily="34" charset="0"/>
          </a:endParaRPr>
        </a:p>
      </xdr:txBody>
    </xdr:sp>
    <xdr:clientData/>
  </xdr:twoCellAnchor>
  <xdr:twoCellAnchor>
    <xdr:from>
      <xdr:col>11</xdr:col>
      <xdr:colOff>325755</xdr:colOff>
      <xdr:row>11</xdr:row>
      <xdr:rowOff>161925</xdr:rowOff>
    </xdr:from>
    <xdr:to>
      <xdr:col>13</xdr:col>
      <xdr:colOff>466725</xdr:colOff>
      <xdr:row>13</xdr:row>
      <xdr:rowOff>95250</xdr:rowOff>
    </xdr:to>
    <xdr:sp macro="" textlink="">
      <xdr:nvSpPr>
        <xdr:cNvPr id="132" name="TextBox 131">
          <a:extLst>
            <a:ext uri="{FF2B5EF4-FFF2-40B4-BE49-F238E27FC236}">
              <a16:creationId xmlns:a16="http://schemas.microsoft.com/office/drawing/2014/main" id="{BFE7B00A-A84C-4D1D-BDFC-261AC0BAE135}"/>
            </a:ext>
          </a:extLst>
        </xdr:cNvPr>
        <xdr:cNvSpPr txBox="1"/>
      </xdr:nvSpPr>
      <xdr:spPr>
        <a:xfrm>
          <a:off x="7869555" y="2362200"/>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48515F"/>
              </a:solidFill>
              <a:latin typeface="Abadi" panose="020F0502020204030204" pitchFamily="34" charset="0"/>
            </a:rPr>
            <a:t>Total Salaries</a:t>
          </a:r>
        </a:p>
      </xdr:txBody>
    </xdr:sp>
    <xdr:clientData/>
  </xdr:twoCellAnchor>
  <xdr:twoCellAnchor>
    <xdr:from>
      <xdr:col>11</xdr:col>
      <xdr:colOff>259080</xdr:colOff>
      <xdr:row>14</xdr:row>
      <xdr:rowOff>4762</xdr:rowOff>
    </xdr:from>
    <xdr:to>
      <xdr:col>13</xdr:col>
      <xdr:colOff>400050</xdr:colOff>
      <xdr:row>15</xdr:row>
      <xdr:rowOff>138112</xdr:rowOff>
    </xdr:to>
    <xdr:sp macro="" textlink="Pivottables!AD5">
      <xdr:nvSpPr>
        <xdr:cNvPr id="133" name="TextBox 132">
          <a:extLst>
            <a:ext uri="{FF2B5EF4-FFF2-40B4-BE49-F238E27FC236}">
              <a16:creationId xmlns:a16="http://schemas.microsoft.com/office/drawing/2014/main" id="{5E13E02E-616C-4354-B311-1280E76D56A9}"/>
            </a:ext>
          </a:extLst>
        </xdr:cNvPr>
        <xdr:cNvSpPr txBox="1"/>
      </xdr:nvSpPr>
      <xdr:spPr>
        <a:xfrm>
          <a:off x="7802880" y="2805112"/>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BD08C12-2558-4321-B72C-2ED5C7DD5887}" type="TxLink">
            <a:rPr lang="en-US" sz="1800" b="0" i="0" u="none" strike="noStrike">
              <a:solidFill>
                <a:srgbClr val="000000"/>
              </a:solidFill>
              <a:latin typeface="Abadi" panose="020B0604020104020204" pitchFamily="34" charset="0"/>
              <a:ea typeface="Calibri"/>
              <a:cs typeface="Calibri"/>
            </a:rPr>
            <a:pPr marL="0" indent="0" algn="l"/>
            <a:t> RM12,100 </a:t>
          </a:fld>
          <a:endParaRPr lang="en-GB" sz="1800" b="0" i="0" u="none" strike="noStrike">
            <a:solidFill>
              <a:srgbClr val="000000"/>
            </a:solidFill>
            <a:latin typeface="Abadi" panose="020B0604020104020204" pitchFamily="34" charset="0"/>
            <a:ea typeface="Calibri"/>
            <a:cs typeface="Calibri"/>
          </a:endParaRPr>
        </a:p>
      </xdr:txBody>
    </xdr:sp>
    <xdr:clientData/>
  </xdr:twoCellAnchor>
  <xdr:twoCellAnchor>
    <xdr:from>
      <xdr:col>11</xdr:col>
      <xdr:colOff>335280</xdr:colOff>
      <xdr:row>15</xdr:row>
      <xdr:rowOff>9525</xdr:rowOff>
    </xdr:from>
    <xdr:to>
      <xdr:col>13</xdr:col>
      <xdr:colOff>476250</xdr:colOff>
      <xdr:row>16</xdr:row>
      <xdr:rowOff>142875</xdr:rowOff>
    </xdr:to>
    <xdr:sp macro="" textlink="">
      <xdr:nvSpPr>
        <xdr:cNvPr id="134" name="TextBox 133">
          <a:extLst>
            <a:ext uri="{FF2B5EF4-FFF2-40B4-BE49-F238E27FC236}">
              <a16:creationId xmlns:a16="http://schemas.microsoft.com/office/drawing/2014/main" id="{A26D4AA2-1054-40A2-96B0-2F469315A209}"/>
            </a:ext>
          </a:extLst>
        </xdr:cNvPr>
        <xdr:cNvSpPr txBox="1"/>
      </xdr:nvSpPr>
      <xdr:spPr>
        <a:xfrm>
          <a:off x="7879080" y="3009900"/>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000">
              <a:solidFill>
                <a:srgbClr val="48515F"/>
              </a:solidFill>
              <a:latin typeface="Abadi" panose="020F0502020204030204" pitchFamily="34" charset="0"/>
            </a:rPr>
            <a:t>Ringgit </a:t>
          </a:r>
          <a:r>
            <a:rPr lang="en-GB" sz="1050">
              <a:solidFill>
                <a:srgbClr val="48515F"/>
              </a:solidFill>
              <a:latin typeface="Abadi" panose="020F0502020204030204" pitchFamily="34" charset="0"/>
            </a:rPr>
            <a:t>Malaysia</a:t>
          </a:r>
          <a:endParaRPr lang="en-GB" sz="1000">
            <a:solidFill>
              <a:srgbClr val="48515F"/>
            </a:solidFill>
            <a:latin typeface="Abadi" panose="020F0502020204030204" pitchFamily="34" charset="0"/>
          </a:endParaRPr>
        </a:p>
      </xdr:txBody>
    </xdr:sp>
    <xdr:clientData/>
  </xdr:twoCellAnchor>
  <xdr:twoCellAnchor>
    <xdr:from>
      <xdr:col>16</xdr:col>
      <xdr:colOff>478155</xdr:colOff>
      <xdr:row>12</xdr:row>
      <xdr:rowOff>0</xdr:rowOff>
    </xdr:from>
    <xdr:to>
      <xdr:col>18</xdr:col>
      <xdr:colOff>619125</xdr:colOff>
      <xdr:row>13</xdr:row>
      <xdr:rowOff>133350</xdr:rowOff>
    </xdr:to>
    <xdr:sp macro="" textlink="">
      <xdr:nvSpPr>
        <xdr:cNvPr id="135" name="TextBox 134">
          <a:extLst>
            <a:ext uri="{FF2B5EF4-FFF2-40B4-BE49-F238E27FC236}">
              <a16:creationId xmlns:a16="http://schemas.microsoft.com/office/drawing/2014/main" id="{2F0DB997-795C-44AE-BD16-C9F082C695C8}"/>
            </a:ext>
          </a:extLst>
        </xdr:cNvPr>
        <xdr:cNvSpPr txBox="1"/>
      </xdr:nvSpPr>
      <xdr:spPr>
        <a:xfrm>
          <a:off x="11450955" y="2400300"/>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48515F"/>
              </a:solidFill>
              <a:latin typeface="Abadi" panose="020F0502020204030204" pitchFamily="34" charset="0"/>
            </a:rPr>
            <a:t>Total Expenses</a:t>
          </a:r>
        </a:p>
      </xdr:txBody>
    </xdr:sp>
    <xdr:clientData/>
  </xdr:twoCellAnchor>
  <xdr:twoCellAnchor>
    <xdr:from>
      <xdr:col>16</xdr:col>
      <xdr:colOff>411480</xdr:colOff>
      <xdr:row>14</xdr:row>
      <xdr:rowOff>42862</xdr:rowOff>
    </xdr:from>
    <xdr:to>
      <xdr:col>18</xdr:col>
      <xdr:colOff>552450</xdr:colOff>
      <xdr:row>15</xdr:row>
      <xdr:rowOff>176212</xdr:rowOff>
    </xdr:to>
    <xdr:sp macro="" textlink="Pivottables!AJ5">
      <xdr:nvSpPr>
        <xdr:cNvPr id="136" name="TextBox 135">
          <a:extLst>
            <a:ext uri="{FF2B5EF4-FFF2-40B4-BE49-F238E27FC236}">
              <a16:creationId xmlns:a16="http://schemas.microsoft.com/office/drawing/2014/main" id="{C12EA05F-177D-4B5E-B069-F0FB5DF65D8E}"/>
            </a:ext>
          </a:extLst>
        </xdr:cNvPr>
        <xdr:cNvSpPr txBox="1"/>
      </xdr:nvSpPr>
      <xdr:spPr>
        <a:xfrm>
          <a:off x="11384280" y="2843212"/>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9B5876B-EE49-4E45-9100-51C9A28741BA}" type="TxLink">
            <a:rPr lang="en-US" sz="1800" b="0" i="0" u="none" strike="noStrike">
              <a:solidFill>
                <a:srgbClr val="000000"/>
              </a:solidFill>
              <a:latin typeface="Abadi" panose="020B0604020104020204" pitchFamily="34" charset="0"/>
              <a:ea typeface="Calibri"/>
              <a:cs typeface="Calibri"/>
            </a:rPr>
            <a:pPr marL="0" indent="0" algn="l"/>
            <a:t> RM15,100 </a:t>
          </a:fld>
          <a:endParaRPr lang="en-GB" sz="1800" b="0" i="0" u="none" strike="noStrike">
            <a:solidFill>
              <a:srgbClr val="000000"/>
            </a:solidFill>
            <a:latin typeface="Abadi" panose="020B0604020104020204" pitchFamily="34" charset="0"/>
            <a:ea typeface="Calibri"/>
            <a:cs typeface="Calibri"/>
          </a:endParaRPr>
        </a:p>
      </xdr:txBody>
    </xdr:sp>
    <xdr:clientData/>
  </xdr:twoCellAnchor>
  <xdr:twoCellAnchor>
    <xdr:from>
      <xdr:col>16</xdr:col>
      <xdr:colOff>487680</xdr:colOff>
      <xdr:row>15</xdr:row>
      <xdr:rowOff>47625</xdr:rowOff>
    </xdr:from>
    <xdr:to>
      <xdr:col>18</xdr:col>
      <xdr:colOff>628650</xdr:colOff>
      <xdr:row>16</xdr:row>
      <xdr:rowOff>180975</xdr:rowOff>
    </xdr:to>
    <xdr:sp macro="" textlink="">
      <xdr:nvSpPr>
        <xdr:cNvPr id="137" name="TextBox 136">
          <a:extLst>
            <a:ext uri="{FF2B5EF4-FFF2-40B4-BE49-F238E27FC236}">
              <a16:creationId xmlns:a16="http://schemas.microsoft.com/office/drawing/2014/main" id="{9CD2A1A0-81B4-408F-BF55-576B6310CA2E}"/>
            </a:ext>
          </a:extLst>
        </xdr:cNvPr>
        <xdr:cNvSpPr txBox="1"/>
      </xdr:nvSpPr>
      <xdr:spPr>
        <a:xfrm>
          <a:off x="11460480" y="3048000"/>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000">
              <a:solidFill>
                <a:srgbClr val="48515F"/>
              </a:solidFill>
              <a:latin typeface="Abadi" panose="020F0502020204030204" pitchFamily="34" charset="0"/>
            </a:rPr>
            <a:t>Ringgit </a:t>
          </a:r>
          <a:r>
            <a:rPr lang="en-GB" sz="1050">
              <a:solidFill>
                <a:srgbClr val="48515F"/>
              </a:solidFill>
              <a:latin typeface="Abadi" panose="020F0502020204030204" pitchFamily="34" charset="0"/>
            </a:rPr>
            <a:t>Malaysia</a:t>
          </a:r>
          <a:endParaRPr lang="en-GB" sz="1000">
            <a:solidFill>
              <a:srgbClr val="48515F"/>
            </a:solidFill>
            <a:latin typeface="Abadi" panose="020F0502020204030204" pitchFamily="34" charset="0"/>
          </a:endParaRPr>
        </a:p>
      </xdr:txBody>
    </xdr:sp>
    <xdr:clientData/>
  </xdr:twoCellAnchor>
  <xdr:twoCellAnchor>
    <xdr:from>
      <xdr:col>9</xdr:col>
      <xdr:colOff>182880</xdr:colOff>
      <xdr:row>11</xdr:row>
      <xdr:rowOff>152400</xdr:rowOff>
    </xdr:from>
    <xdr:to>
      <xdr:col>12</xdr:col>
      <xdr:colOff>45720</xdr:colOff>
      <xdr:row>17</xdr:row>
      <xdr:rowOff>49530</xdr:rowOff>
    </xdr:to>
    <xdr:graphicFrame macro="">
      <xdr:nvGraphicFramePr>
        <xdr:cNvPr id="3" name="Chart 2">
          <a:extLst>
            <a:ext uri="{FF2B5EF4-FFF2-40B4-BE49-F238E27FC236}">
              <a16:creationId xmlns:a16="http://schemas.microsoft.com/office/drawing/2014/main" id="{6AAA85E2-7897-4CBC-8B67-421C112F3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358412</xdr:colOff>
      <xdr:row>11</xdr:row>
      <xdr:rowOff>137432</xdr:rowOff>
    </xdr:from>
    <xdr:to>
      <xdr:col>17</xdr:col>
      <xdr:colOff>221252</xdr:colOff>
      <xdr:row>17</xdr:row>
      <xdr:rowOff>34562</xdr:rowOff>
    </xdr:to>
    <xdr:graphicFrame macro="">
      <xdr:nvGraphicFramePr>
        <xdr:cNvPr id="5" name="Chart 4">
          <a:extLst>
            <a:ext uri="{FF2B5EF4-FFF2-40B4-BE49-F238E27FC236}">
              <a16:creationId xmlns:a16="http://schemas.microsoft.com/office/drawing/2014/main" id="{C962CE0D-9215-4BF3-9034-FEE750936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180974</xdr:colOff>
      <xdr:row>13</xdr:row>
      <xdr:rowOff>133350</xdr:rowOff>
    </xdr:from>
    <xdr:to>
      <xdr:col>11</xdr:col>
      <xdr:colOff>76199</xdr:colOff>
      <xdr:row>15</xdr:row>
      <xdr:rowOff>66675</xdr:rowOff>
    </xdr:to>
    <xdr:sp macro="" textlink="Pivottables!AG8">
      <xdr:nvSpPr>
        <xdr:cNvPr id="7" name="TextBox 6">
          <a:extLst>
            <a:ext uri="{FF2B5EF4-FFF2-40B4-BE49-F238E27FC236}">
              <a16:creationId xmlns:a16="http://schemas.microsoft.com/office/drawing/2014/main" id="{BC68CCAF-03C3-43CF-A572-9FD5755F463F}"/>
            </a:ext>
          </a:extLst>
        </xdr:cNvPr>
        <xdr:cNvSpPr txBox="1"/>
      </xdr:nvSpPr>
      <xdr:spPr>
        <a:xfrm>
          <a:off x="7038974" y="2733675"/>
          <a:ext cx="5810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534117-5695-4CAA-BDF0-C12A0014C5DB}" type="TxLink">
            <a:rPr lang="en-US" sz="1400" b="0" i="0" u="none" strike="noStrike">
              <a:solidFill>
                <a:srgbClr val="000000"/>
              </a:solidFill>
              <a:latin typeface="Abadi" panose="020B0604020104020204" pitchFamily="34" charset="0"/>
              <a:ea typeface="Calibri"/>
              <a:cs typeface="Calibri"/>
            </a:rPr>
            <a:pPr marL="0" indent="0" algn="ctr"/>
            <a:t>44%</a:t>
          </a:fld>
          <a:endParaRPr lang="en-GB" sz="1800" b="0" i="0" u="none" strike="noStrike">
            <a:solidFill>
              <a:srgbClr val="000000"/>
            </a:solidFill>
            <a:latin typeface="Abadi" panose="020B0604020104020204" pitchFamily="34" charset="0"/>
            <a:ea typeface="Calibri"/>
            <a:cs typeface="Calibri"/>
          </a:endParaRPr>
        </a:p>
      </xdr:txBody>
    </xdr:sp>
    <xdr:clientData/>
  </xdr:twoCellAnchor>
  <xdr:twoCellAnchor>
    <xdr:from>
      <xdr:col>15</xdr:col>
      <xdr:colOff>371474</xdr:colOff>
      <xdr:row>13</xdr:row>
      <xdr:rowOff>114300</xdr:rowOff>
    </xdr:from>
    <xdr:to>
      <xdr:col>16</xdr:col>
      <xdr:colOff>266699</xdr:colOff>
      <xdr:row>15</xdr:row>
      <xdr:rowOff>47625</xdr:rowOff>
    </xdr:to>
    <xdr:sp macro="" textlink="Pivottables!AM8">
      <xdr:nvSpPr>
        <xdr:cNvPr id="11" name="TextBox 10">
          <a:extLst>
            <a:ext uri="{FF2B5EF4-FFF2-40B4-BE49-F238E27FC236}">
              <a16:creationId xmlns:a16="http://schemas.microsoft.com/office/drawing/2014/main" id="{0103793D-CC7A-4F36-8831-7DCAFD7CD1BB}"/>
            </a:ext>
          </a:extLst>
        </xdr:cNvPr>
        <xdr:cNvSpPr txBox="1"/>
      </xdr:nvSpPr>
      <xdr:spPr>
        <a:xfrm>
          <a:off x="10658474" y="2714625"/>
          <a:ext cx="5810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A3C2920-0FD0-4A75-BF18-64BC59A1EC05}" type="TxLink">
            <a:rPr lang="en-US" sz="1400" b="0" i="0" u="none" strike="noStrike">
              <a:solidFill>
                <a:srgbClr val="000000"/>
              </a:solidFill>
              <a:latin typeface="Abadi" panose="020B0604020104020204" pitchFamily="34" charset="0"/>
              <a:ea typeface="Calibri"/>
              <a:cs typeface="Calibri"/>
            </a:rPr>
            <a:pPr marL="0" indent="0" algn="ctr"/>
            <a:t>56%</a:t>
          </a:fld>
          <a:endParaRPr lang="en-GB" sz="1800" b="0" i="0" u="none" strike="noStrike">
            <a:solidFill>
              <a:srgbClr val="000000"/>
            </a:solidFill>
            <a:latin typeface="Abadi" panose="020B0604020104020204" pitchFamily="34" charset="0"/>
            <a:ea typeface="Calibri"/>
            <a:cs typeface="Calibri"/>
          </a:endParaRPr>
        </a:p>
      </xdr:txBody>
    </xdr:sp>
    <xdr:clientData/>
  </xdr:twoCellAnchor>
  <xdr:twoCellAnchor>
    <xdr:from>
      <xdr:col>4</xdr:col>
      <xdr:colOff>371475</xdr:colOff>
      <xdr:row>21</xdr:row>
      <xdr:rowOff>123825</xdr:rowOff>
    </xdr:from>
    <xdr:to>
      <xdr:col>11</xdr:col>
      <xdr:colOff>114299</xdr:colOff>
      <xdr:row>29</xdr:row>
      <xdr:rowOff>133351</xdr:rowOff>
    </xdr:to>
    <xdr:graphicFrame macro="">
      <xdr:nvGraphicFramePr>
        <xdr:cNvPr id="12" name="Chart 11">
          <a:extLst>
            <a:ext uri="{FF2B5EF4-FFF2-40B4-BE49-F238E27FC236}">
              <a16:creationId xmlns:a16="http://schemas.microsoft.com/office/drawing/2014/main" id="{53C46CC9-CDB1-4F20-A4E8-E8E77234D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440054</xdr:colOff>
      <xdr:row>19</xdr:row>
      <xdr:rowOff>142875</xdr:rowOff>
    </xdr:from>
    <xdr:to>
      <xdr:col>7</xdr:col>
      <xdr:colOff>57149</xdr:colOff>
      <xdr:row>21</xdr:row>
      <xdr:rowOff>76200</xdr:rowOff>
    </xdr:to>
    <xdr:sp macro="" textlink="">
      <xdr:nvSpPr>
        <xdr:cNvPr id="15" name="TextBox 14">
          <a:extLst>
            <a:ext uri="{FF2B5EF4-FFF2-40B4-BE49-F238E27FC236}">
              <a16:creationId xmlns:a16="http://schemas.microsoft.com/office/drawing/2014/main" id="{848B4E03-63E9-46F5-9C88-1FCD4AC7A7AC}"/>
            </a:ext>
          </a:extLst>
        </xdr:cNvPr>
        <xdr:cNvSpPr txBox="1"/>
      </xdr:nvSpPr>
      <xdr:spPr>
        <a:xfrm>
          <a:off x="3183254" y="3943350"/>
          <a:ext cx="167449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48515F"/>
              </a:solidFill>
              <a:latin typeface="Abadi" panose="020F0502020204030204" pitchFamily="34" charset="0"/>
            </a:rPr>
            <a:t>Expenses by Month</a:t>
          </a:r>
        </a:p>
      </xdr:txBody>
    </xdr:sp>
    <xdr:clientData/>
  </xdr:twoCellAnchor>
  <xdr:twoCellAnchor editAs="oneCell">
    <xdr:from>
      <xdr:col>6</xdr:col>
      <xdr:colOff>458152</xdr:colOff>
      <xdr:row>31</xdr:row>
      <xdr:rowOff>133350</xdr:rowOff>
    </xdr:from>
    <xdr:to>
      <xdr:col>8</xdr:col>
      <xdr:colOff>658177</xdr:colOff>
      <xdr:row>42</xdr:row>
      <xdr:rowOff>123825</xdr:rowOff>
    </xdr:to>
    <xdr:pic>
      <xdr:nvPicPr>
        <xdr:cNvPr id="19" name="Graphic 18">
          <a:extLst>
            <a:ext uri="{FF2B5EF4-FFF2-40B4-BE49-F238E27FC236}">
              <a16:creationId xmlns:a16="http://schemas.microsoft.com/office/drawing/2014/main" id="{BC423396-E012-2AA2-2FA7-FAD13C28909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572952" y="6334125"/>
          <a:ext cx="1571625" cy="2190750"/>
        </a:xfrm>
        <a:prstGeom prst="rect">
          <a:avLst/>
        </a:prstGeom>
      </xdr:spPr>
    </xdr:pic>
    <xdr:clientData/>
  </xdr:twoCellAnchor>
  <xdr:twoCellAnchor editAs="oneCell">
    <xdr:from>
      <xdr:col>9</xdr:col>
      <xdr:colOff>97155</xdr:colOff>
      <xdr:row>31</xdr:row>
      <xdr:rowOff>133350</xdr:rowOff>
    </xdr:from>
    <xdr:to>
      <xdr:col>11</xdr:col>
      <xdr:colOff>297180</xdr:colOff>
      <xdr:row>42</xdr:row>
      <xdr:rowOff>123825</xdr:rowOff>
    </xdr:to>
    <xdr:pic>
      <xdr:nvPicPr>
        <xdr:cNvPr id="21" name="Graphic 20">
          <a:extLst>
            <a:ext uri="{FF2B5EF4-FFF2-40B4-BE49-F238E27FC236}">
              <a16:creationId xmlns:a16="http://schemas.microsoft.com/office/drawing/2014/main" id="{ADD52FAD-89CD-4AFE-AA6E-FCBACF6FF97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269355" y="6334125"/>
          <a:ext cx="1571625" cy="2190750"/>
        </a:xfrm>
        <a:prstGeom prst="rect">
          <a:avLst/>
        </a:prstGeom>
      </xdr:spPr>
    </xdr:pic>
    <xdr:clientData/>
  </xdr:twoCellAnchor>
  <xdr:twoCellAnchor>
    <xdr:from>
      <xdr:col>4</xdr:col>
      <xdr:colOff>152400</xdr:colOff>
      <xdr:row>31</xdr:row>
      <xdr:rowOff>142875</xdr:rowOff>
    </xdr:from>
    <xdr:to>
      <xdr:col>6</xdr:col>
      <xdr:colOff>314326</xdr:colOff>
      <xdr:row>36</xdr:row>
      <xdr:rowOff>152400</xdr:rowOff>
    </xdr:to>
    <xdr:sp macro="" textlink="">
      <xdr:nvSpPr>
        <xdr:cNvPr id="23" name="Rectangle: Rounded Corners 22">
          <a:extLst>
            <a:ext uri="{FF2B5EF4-FFF2-40B4-BE49-F238E27FC236}">
              <a16:creationId xmlns:a16="http://schemas.microsoft.com/office/drawing/2014/main" id="{99C7E156-7A48-8506-8DB8-2634D5BEEA93}"/>
            </a:ext>
          </a:extLst>
        </xdr:cNvPr>
        <xdr:cNvSpPr/>
      </xdr:nvSpPr>
      <xdr:spPr>
        <a:xfrm>
          <a:off x="2895600" y="6343650"/>
          <a:ext cx="1533526" cy="1009650"/>
        </a:xfrm>
        <a:prstGeom prst="roundRect">
          <a:avLst/>
        </a:prstGeom>
        <a:ln w="38100">
          <a:solidFill>
            <a:schemeClr val="accent4">
              <a:lumMod val="60000"/>
              <a:lumOff val="40000"/>
            </a:schemeClr>
          </a:solidFill>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6</xdr:col>
      <xdr:colOff>476250</xdr:colOff>
      <xdr:row>31</xdr:row>
      <xdr:rowOff>142875</xdr:rowOff>
    </xdr:from>
    <xdr:to>
      <xdr:col>8</xdr:col>
      <xdr:colOff>638176</xdr:colOff>
      <xdr:row>36</xdr:row>
      <xdr:rowOff>152400</xdr:rowOff>
    </xdr:to>
    <xdr:sp macro="" textlink="">
      <xdr:nvSpPr>
        <xdr:cNvPr id="24" name="Rectangle: Rounded Corners 23">
          <a:extLst>
            <a:ext uri="{FF2B5EF4-FFF2-40B4-BE49-F238E27FC236}">
              <a16:creationId xmlns:a16="http://schemas.microsoft.com/office/drawing/2014/main" id="{125B67A4-124C-4A22-B4F4-04D07672918D}"/>
            </a:ext>
          </a:extLst>
        </xdr:cNvPr>
        <xdr:cNvSpPr/>
      </xdr:nvSpPr>
      <xdr:spPr>
        <a:xfrm>
          <a:off x="4591050" y="6343650"/>
          <a:ext cx="1533526" cy="1009650"/>
        </a:xfrm>
        <a:prstGeom prst="roundRect">
          <a:avLst/>
        </a:prstGeom>
        <a:ln w="38100">
          <a:solidFill>
            <a:schemeClr val="accent2">
              <a:lumMod val="60000"/>
              <a:lumOff val="40000"/>
            </a:schemeClr>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9</xdr:col>
      <xdr:colOff>114300</xdr:colOff>
      <xdr:row>31</xdr:row>
      <xdr:rowOff>142875</xdr:rowOff>
    </xdr:from>
    <xdr:to>
      <xdr:col>11</xdr:col>
      <xdr:colOff>276226</xdr:colOff>
      <xdr:row>36</xdr:row>
      <xdr:rowOff>152400</xdr:rowOff>
    </xdr:to>
    <xdr:sp macro="" textlink="">
      <xdr:nvSpPr>
        <xdr:cNvPr id="30" name="Rectangle: Rounded Corners 29">
          <a:extLst>
            <a:ext uri="{FF2B5EF4-FFF2-40B4-BE49-F238E27FC236}">
              <a16:creationId xmlns:a16="http://schemas.microsoft.com/office/drawing/2014/main" id="{CCA3B967-74AB-4E9C-8685-5F487D53EF7C}"/>
            </a:ext>
          </a:extLst>
        </xdr:cNvPr>
        <xdr:cNvSpPr/>
      </xdr:nvSpPr>
      <xdr:spPr>
        <a:xfrm>
          <a:off x="6286500" y="6343650"/>
          <a:ext cx="1533526" cy="1009650"/>
        </a:xfrm>
        <a:prstGeom prst="roundRect">
          <a:avLst/>
        </a:prstGeom>
        <a:ln w="38100">
          <a:solidFill>
            <a:schemeClr val="accent2">
              <a:lumMod val="60000"/>
              <a:lumOff val="40000"/>
            </a:schemeClr>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editAs="oneCell">
    <xdr:from>
      <xdr:col>4</xdr:col>
      <xdr:colOff>438150</xdr:colOff>
      <xdr:row>32</xdr:row>
      <xdr:rowOff>9525</xdr:rowOff>
    </xdr:from>
    <xdr:to>
      <xdr:col>5</xdr:col>
      <xdr:colOff>666750</xdr:colOff>
      <xdr:row>36</xdr:row>
      <xdr:rowOff>123825</xdr:rowOff>
    </xdr:to>
    <xdr:pic>
      <xdr:nvPicPr>
        <xdr:cNvPr id="32" name="Picture 31">
          <a:extLst>
            <a:ext uri="{FF2B5EF4-FFF2-40B4-BE49-F238E27FC236}">
              <a16:creationId xmlns:a16="http://schemas.microsoft.com/office/drawing/2014/main" id="{FBF4A22E-B12F-4D6D-9BEB-7CEFF2895DD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181350" y="6410325"/>
          <a:ext cx="914400" cy="914400"/>
        </a:xfrm>
        <a:prstGeom prst="rect">
          <a:avLst/>
        </a:prstGeom>
      </xdr:spPr>
    </xdr:pic>
    <xdr:clientData/>
  </xdr:twoCellAnchor>
  <xdr:twoCellAnchor editAs="oneCell">
    <xdr:from>
      <xdr:col>7</xdr:col>
      <xdr:colOff>102375</xdr:colOff>
      <xdr:row>32</xdr:row>
      <xdr:rowOff>16650</xdr:rowOff>
    </xdr:from>
    <xdr:to>
      <xdr:col>8</xdr:col>
      <xdr:colOff>330975</xdr:colOff>
      <xdr:row>36</xdr:row>
      <xdr:rowOff>130950</xdr:rowOff>
    </xdr:to>
    <xdr:pic>
      <xdr:nvPicPr>
        <xdr:cNvPr id="34" name="Picture 33">
          <a:extLst>
            <a:ext uri="{FF2B5EF4-FFF2-40B4-BE49-F238E27FC236}">
              <a16:creationId xmlns:a16="http://schemas.microsoft.com/office/drawing/2014/main" id="{7F14FDF9-BD69-C46B-F8D3-F7285862264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4902975" y="6417450"/>
          <a:ext cx="914400" cy="914400"/>
        </a:xfrm>
        <a:prstGeom prst="rect">
          <a:avLst/>
        </a:prstGeom>
      </xdr:spPr>
    </xdr:pic>
    <xdr:clientData/>
  </xdr:twoCellAnchor>
  <xdr:twoCellAnchor editAs="oneCell">
    <xdr:from>
      <xdr:col>9</xdr:col>
      <xdr:colOff>457200</xdr:colOff>
      <xdr:row>32</xdr:row>
      <xdr:rowOff>19050</xdr:rowOff>
    </xdr:from>
    <xdr:to>
      <xdr:col>11</xdr:col>
      <xdr:colOff>0</xdr:colOff>
      <xdr:row>36</xdr:row>
      <xdr:rowOff>133350</xdr:rowOff>
    </xdr:to>
    <xdr:pic>
      <xdr:nvPicPr>
        <xdr:cNvPr id="44" name="Picture 43">
          <a:extLst>
            <a:ext uri="{FF2B5EF4-FFF2-40B4-BE49-F238E27FC236}">
              <a16:creationId xmlns:a16="http://schemas.microsoft.com/office/drawing/2014/main" id="{22FA4D92-344C-0826-D23A-19693B04E9CB}"/>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629400" y="6419850"/>
          <a:ext cx="914400" cy="914400"/>
        </a:xfrm>
        <a:prstGeom prst="rect">
          <a:avLst/>
        </a:prstGeom>
      </xdr:spPr>
    </xdr:pic>
    <xdr:clientData/>
  </xdr:twoCellAnchor>
  <xdr:twoCellAnchor>
    <xdr:from>
      <xdr:col>4</xdr:col>
      <xdr:colOff>173355</xdr:colOff>
      <xdr:row>37</xdr:row>
      <xdr:rowOff>28575</xdr:rowOff>
    </xdr:from>
    <xdr:to>
      <xdr:col>6</xdr:col>
      <xdr:colOff>314325</xdr:colOff>
      <xdr:row>38</xdr:row>
      <xdr:rowOff>161925</xdr:rowOff>
    </xdr:to>
    <xdr:sp macro="" textlink="">
      <xdr:nvSpPr>
        <xdr:cNvPr id="45" name="TextBox 44">
          <a:extLst>
            <a:ext uri="{FF2B5EF4-FFF2-40B4-BE49-F238E27FC236}">
              <a16:creationId xmlns:a16="http://schemas.microsoft.com/office/drawing/2014/main" id="{62BAA8E5-610A-4E68-B080-26144989871A}"/>
            </a:ext>
          </a:extLst>
        </xdr:cNvPr>
        <xdr:cNvSpPr txBox="1"/>
      </xdr:nvSpPr>
      <xdr:spPr>
        <a:xfrm>
          <a:off x="2916555" y="7429500"/>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rgbClr val="48515F"/>
              </a:solidFill>
              <a:latin typeface="Abadi" panose="020F0502020204030204" pitchFamily="34" charset="0"/>
            </a:rPr>
            <a:t>Total Distance</a:t>
          </a:r>
        </a:p>
      </xdr:txBody>
    </xdr:sp>
    <xdr:clientData/>
  </xdr:twoCellAnchor>
  <xdr:twoCellAnchor>
    <xdr:from>
      <xdr:col>4</xdr:col>
      <xdr:colOff>163830</xdr:colOff>
      <xdr:row>40</xdr:row>
      <xdr:rowOff>104775</xdr:rowOff>
    </xdr:from>
    <xdr:to>
      <xdr:col>6</xdr:col>
      <xdr:colOff>304800</xdr:colOff>
      <xdr:row>42</xdr:row>
      <xdr:rowOff>38100</xdr:rowOff>
    </xdr:to>
    <xdr:sp macro="" textlink="">
      <xdr:nvSpPr>
        <xdr:cNvPr id="46" name="TextBox 45">
          <a:extLst>
            <a:ext uri="{FF2B5EF4-FFF2-40B4-BE49-F238E27FC236}">
              <a16:creationId xmlns:a16="http://schemas.microsoft.com/office/drawing/2014/main" id="{DD21849F-0C3A-4270-80C0-30E33AC61CCD}"/>
            </a:ext>
          </a:extLst>
        </xdr:cNvPr>
        <xdr:cNvSpPr txBox="1"/>
      </xdr:nvSpPr>
      <xdr:spPr>
        <a:xfrm>
          <a:off x="2907030" y="8105775"/>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a:solidFill>
                <a:srgbClr val="48515F"/>
              </a:solidFill>
              <a:latin typeface="Abadi" panose="020F0502020204030204" pitchFamily="34" charset="0"/>
            </a:rPr>
            <a:t>Kilometres</a:t>
          </a:r>
        </a:p>
      </xdr:txBody>
    </xdr:sp>
    <xdr:clientData/>
  </xdr:twoCellAnchor>
  <xdr:twoCellAnchor>
    <xdr:from>
      <xdr:col>6</xdr:col>
      <xdr:colOff>478155</xdr:colOff>
      <xdr:row>37</xdr:row>
      <xdr:rowOff>28575</xdr:rowOff>
    </xdr:from>
    <xdr:to>
      <xdr:col>8</xdr:col>
      <xdr:colOff>619125</xdr:colOff>
      <xdr:row>38</xdr:row>
      <xdr:rowOff>161925</xdr:rowOff>
    </xdr:to>
    <xdr:sp macro="" textlink="">
      <xdr:nvSpPr>
        <xdr:cNvPr id="56" name="TextBox 55">
          <a:extLst>
            <a:ext uri="{FF2B5EF4-FFF2-40B4-BE49-F238E27FC236}">
              <a16:creationId xmlns:a16="http://schemas.microsoft.com/office/drawing/2014/main" id="{CB5ADE43-893F-456D-8641-688D027C264D}"/>
            </a:ext>
          </a:extLst>
        </xdr:cNvPr>
        <xdr:cNvSpPr txBox="1"/>
      </xdr:nvSpPr>
      <xdr:spPr>
        <a:xfrm>
          <a:off x="4592955" y="7429500"/>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rgbClr val="48515F"/>
              </a:solidFill>
              <a:latin typeface="Abadi" panose="020F0502020204030204" pitchFamily="34" charset="0"/>
            </a:rPr>
            <a:t>One-Way</a:t>
          </a:r>
        </a:p>
      </xdr:txBody>
    </xdr:sp>
    <xdr:clientData/>
  </xdr:twoCellAnchor>
  <xdr:twoCellAnchor>
    <xdr:from>
      <xdr:col>6</xdr:col>
      <xdr:colOff>506730</xdr:colOff>
      <xdr:row>40</xdr:row>
      <xdr:rowOff>104775</xdr:rowOff>
    </xdr:from>
    <xdr:to>
      <xdr:col>8</xdr:col>
      <xdr:colOff>647700</xdr:colOff>
      <xdr:row>42</xdr:row>
      <xdr:rowOff>38100</xdr:rowOff>
    </xdr:to>
    <xdr:sp macro="" textlink="">
      <xdr:nvSpPr>
        <xdr:cNvPr id="57" name="TextBox 56">
          <a:extLst>
            <a:ext uri="{FF2B5EF4-FFF2-40B4-BE49-F238E27FC236}">
              <a16:creationId xmlns:a16="http://schemas.microsoft.com/office/drawing/2014/main" id="{A87BBA06-74BC-4715-BBB1-2FBF134C8E86}"/>
            </a:ext>
          </a:extLst>
        </xdr:cNvPr>
        <xdr:cNvSpPr txBox="1"/>
      </xdr:nvSpPr>
      <xdr:spPr>
        <a:xfrm>
          <a:off x="4621530" y="8105775"/>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a:solidFill>
                <a:srgbClr val="48515F"/>
              </a:solidFill>
              <a:latin typeface="Abadi" panose="020F0502020204030204" pitchFamily="34" charset="0"/>
            </a:rPr>
            <a:t>Trips</a:t>
          </a:r>
        </a:p>
      </xdr:txBody>
    </xdr:sp>
    <xdr:clientData/>
  </xdr:twoCellAnchor>
  <xdr:twoCellAnchor>
    <xdr:from>
      <xdr:col>9</xdr:col>
      <xdr:colOff>125730</xdr:colOff>
      <xdr:row>37</xdr:row>
      <xdr:rowOff>28575</xdr:rowOff>
    </xdr:from>
    <xdr:to>
      <xdr:col>11</xdr:col>
      <xdr:colOff>266700</xdr:colOff>
      <xdr:row>38</xdr:row>
      <xdr:rowOff>161925</xdr:rowOff>
    </xdr:to>
    <xdr:sp macro="" textlink="">
      <xdr:nvSpPr>
        <xdr:cNvPr id="58" name="TextBox 57">
          <a:extLst>
            <a:ext uri="{FF2B5EF4-FFF2-40B4-BE49-F238E27FC236}">
              <a16:creationId xmlns:a16="http://schemas.microsoft.com/office/drawing/2014/main" id="{1CD8403A-5340-4E46-A773-DB0BF526F29D}"/>
            </a:ext>
          </a:extLst>
        </xdr:cNvPr>
        <xdr:cNvSpPr txBox="1"/>
      </xdr:nvSpPr>
      <xdr:spPr>
        <a:xfrm>
          <a:off x="6297930" y="7429500"/>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rgbClr val="48515F"/>
              </a:solidFill>
              <a:latin typeface="Abadi" panose="020F0502020204030204" pitchFamily="34" charset="0"/>
            </a:rPr>
            <a:t>Return</a:t>
          </a:r>
        </a:p>
      </xdr:txBody>
    </xdr:sp>
    <xdr:clientData/>
  </xdr:twoCellAnchor>
  <xdr:twoCellAnchor>
    <xdr:from>
      <xdr:col>9</xdr:col>
      <xdr:colOff>135255</xdr:colOff>
      <xdr:row>40</xdr:row>
      <xdr:rowOff>104775</xdr:rowOff>
    </xdr:from>
    <xdr:to>
      <xdr:col>11</xdr:col>
      <xdr:colOff>276225</xdr:colOff>
      <xdr:row>42</xdr:row>
      <xdr:rowOff>38100</xdr:rowOff>
    </xdr:to>
    <xdr:sp macro="" textlink="">
      <xdr:nvSpPr>
        <xdr:cNvPr id="66" name="TextBox 65">
          <a:extLst>
            <a:ext uri="{FF2B5EF4-FFF2-40B4-BE49-F238E27FC236}">
              <a16:creationId xmlns:a16="http://schemas.microsoft.com/office/drawing/2014/main" id="{608C3DAF-10DB-456D-9C85-8E42F160F981}"/>
            </a:ext>
          </a:extLst>
        </xdr:cNvPr>
        <xdr:cNvSpPr txBox="1"/>
      </xdr:nvSpPr>
      <xdr:spPr>
        <a:xfrm>
          <a:off x="6307455" y="8105775"/>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a:solidFill>
                <a:srgbClr val="48515F"/>
              </a:solidFill>
              <a:latin typeface="Abadi" panose="020F0502020204030204" pitchFamily="34" charset="0"/>
            </a:rPr>
            <a:t>Trips</a:t>
          </a:r>
        </a:p>
      </xdr:txBody>
    </xdr:sp>
    <xdr:clientData/>
  </xdr:twoCellAnchor>
  <xdr:twoCellAnchor>
    <xdr:from>
      <xdr:col>4</xdr:col>
      <xdr:colOff>144780</xdr:colOff>
      <xdr:row>38</xdr:row>
      <xdr:rowOff>185737</xdr:rowOff>
    </xdr:from>
    <xdr:to>
      <xdr:col>6</xdr:col>
      <xdr:colOff>285750</xdr:colOff>
      <xdr:row>40</xdr:row>
      <xdr:rowOff>119062</xdr:rowOff>
    </xdr:to>
    <xdr:sp macro="" textlink="Pivottables!AT7">
      <xdr:nvSpPr>
        <xdr:cNvPr id="67" name="TextBox 66">
          <a:extLst>
            <a:ext uri="{FF2B5EF4-FFF2-40B4-BE49-F238E27FC236}">
              <a16:creationId xmlns:a16="http://schemas.microsoft.com/office/drawing/2014/main" id="{20AF0868-8FD6-45C2-9A17-445FFF84ED36}"/>
            </a:ext>
          </a:extLst>
        </xdr:cNvPr>
        <xdr:cNvSpPr txBox="1"/>
      </xdr:nvSpPr>
      <xdr:spPr>
        <a:xfrm>
          <a:off x="2887980" y="7786687"/>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72888F-9A60-49C7-B181-50CA2B651461}" type="TxLink">
            <a:rPr lang="en-US" sz="1400" b="0" i="0" u="none" strike="noStrike">
              <a:solidFill>
                <a:srgbClr val="000000"/>
              </a:solidFill>
              <a:latin typeface="Abadi" panose="020B0604020104020204" pitchFamily="34" charset="0"/>
              <a:ea typeface="Calibri"/>
              <a:cs typeface="Calibri"/>
            </a:rPr>
            <a:pPr marL="0" indent="0" algn="ctr"/>
            <a:t> 868 </a:t>
          </a:fld>
          <a:endParaRPr lang="en-US" sz="1800" b="0" i="0" u="none" strike="noStrike">
            <a:solidFill>
              <a:srgbClr val="000000"/>
            </a:solidFill>
            <a:latin typeface="Abadi" panose="020B0604020104020204" pitchFamily="34" charset="0"/>
            <a:ea typeface="Calibri"/>
            <a:cs typeface="Calibri"/>
          </a:endParaRPr>
        </a:p>
      </xdr:txBody>
    </xdr:sp>
    <xdr:clientData/>
  </xdr:twoCellAnchor>
  <xdr:twoCellAnchor>
    <xdr:from>
      <xdr:col>6</xdr:col>
      <xdr:colOff>478155</xdr:colOff>
      <xdr:row>38</xdr:row>
      <xdr:rowOff>185737</xdr:rowOff>
    </xdr:from>
    <xdr:to>
      <xdr:col>8</xdr:col>
      <xdr:colOff>619125</xdr:colOff>
      <xdr:row>40</xdr:row>
      <xdr:rowOff>119062</xdr:rowOff>
    </xdr:to>
    <xdr:sp macro="" textlink="Pivottables!AU5">
      <xdr:nvSpPr>
        <xdr:cNvPr id="68" name="TextBox 67">
          <a:extLst>
            <a:ext uri="{FF2B5EF4-FFF2-40B4-BE49-F238E27FC236}">
              <a16:creationId xmlns:a16="http://schemas.microsoft.com/office/drawing/2014/main" id="{88DDDF54-B608-4A81-8161-EB6D4BEC48FD}"/>
            </a:ext>
          </a:extLst>
        </xdr:cNvPr>
        <xdr:cNvSpPr txBox="1"/>
      </xdr:nvSpPr>
      <xdr:spPr>
        <a:xfrm>
          <a:off x="4592955" y="7786687"/>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6FA428E-D28D-4C0D-93B8-67FE03684135}" type="TxLink">
            <a:rPr lang="en-US" sz="1400" b="0" i="0" u="none" strike="noStrike">
              <a:solidFill>
                <a:srgbClr val="000000"/>
              </a:solidFill>
              <a:latin typeface="Abadi" panose="020B0604020104020204" pitchFamily="34" charset="0"/>
              <a:ea typeface="Calibri"/>
              <a:cs typeface="Calibri"/>
            </a:rPr>
            <a:pPr marL="0" indent="0" algn="ctr"/>
            <a:t> 16 </a:t>
          </a:fld>
          <a:endParaRPr lang="en-GB" sz="1800" b="0" i="0" u="none" strike="noStrike">
            <a:solidFill>
              <a:srgbClr val="000000"/>
            </a:solidFill>
            <a:latin typeface="Abadi" panose="020B0604020104020204" pitchFamily="34" charset="0"/>
            <a:ea typeface="Calibri"/>
            <a:cs typeface="Calibri"/>
          </a:endParaRPr>
        </a:p>
      </xdr:txBody>
    </xdr:sp>
    <xdr:clientData/>
  </xdr:twoCellAnchor>
  <xdr:twoCellAnchor>
    <xdr:from>
      <xdr:col>9</xdr:col>
      <xdr:colOff>125730</xdr:colOff>
      <xdr:row>38</xdr:row>
      <xdr:rowOff>185737</xdr:rowOff>
    </xdr:from>
    <xdr:to>
      <xdr:col>11</xdr:col>
      <xdr:colOff>266700</xdr:colOff>
      <xdr:row>40</xdr:row>
      <xdr:rowOff>119062</xdr:rowOff>
    </xdr:to>
    <xdr:sp macro="" textlink="Pivottables!AU6">
      <xdr:nvSpPr>
        <xdr:cNvPr id="69" name="TextBox 68">
          <a:extLst>
            <a:ext uri="{FF2B5EF4-FFF2-40B4-BE49-F238E27FC236}">
              <a16:creationId xmlns:a16="http://schemas.microsoft.com/office/drawing/2014/main" id="{F81F7D3E-EB2D-4401-B2F8-F9954E694109}"/>
            </a:ext>
          </a:extLst>
        </xdr:cNvPr>
        <xdr:cNvSpPr txBox="1"/>
      </xdr:nvSpPr>
      <xdr:spPr>
        <a:xfrm>
          <a:off x="6297930" y="7786687"/>
          <a:ext cx="1512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BABD2A-28F6-4996-88B5-361443DCA26B}" type="TxLink">
            <a:rPr lang="en-US" sz="1400" b="0" i="0" u="none" strike="noStrike">
              <a:solidFill>
                <a:srgbClr val="000000"/>
              </a:solidFill>
              <a:latin typeface="Abadi" panose="020B0604020104020204" pitchFamily="34" charset="0"/>
              <a:ea typeface="Calibri"/>
              <a:cs typeface="Calibri"/>
            </a:rPr>
            <a:pPr marL="0" indent="0" algn="ctr"/>
            <a:t> 8 </a:t>
          </a:fld>
          <a:endParaRPr lang="en-GB" sz="1800" b="0" i="0" u="none" strike="noStrike">
            <a:solidFill>
              <a:srgbClr val="000000"/>
            </a:solidFill>
            <a:latin typeface="Abadi" panose="020B0604020104020204" pitchFamily="34" charset="0"/>
            <a:ea typeface="Calibri"/>
            <a:cs typeface="Calibri"/>
          </a:endParaRPr>
        </a:p>
      </xdr:txBody>
    </xdr:sp>
    <xdr:clientData/>
  </xdr:twoCellAnchor>
  <xdr:twoCellAnchor>
    <xdr:from>
      <xdr:col>11</xdr:col>
      <xdr:colOff>607218</xdr:colOff>
      <xdr:row>32</xdr:row>
      <xdr:rowOff>64110</xdr:rowOff>
    </xdr:from>
    <xdr:to>
      <xdr:col>19</xdr:col>
      <xdr:colOff>35718</xdr:colOff>
      <xdr:row>43</xdr:row>
      <xdr:rowOff>16485</xdr:rowOff>
    </xdr:to>
    <xdr:graphicFrame macro="">
      <xdr:nvGraphicFramePr>
        <xdr:cNvPr id="16" name="Chart 15">
          <a:extLst>
            <a:ext uri="{FF2B5EF4-FFF2-40B4-BE49-F238E27FC236}">
              <a16:creationId xmlns:a16="http://schemas.microsoft.com/office/drawing/2014/main" id="{40D7BE9C-FBB8-4DE4-ACF1-AD6B8CF7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179216</xdr:colOff>
      <xdr:row>32</xdr:row>
      <xdr:rowOff>74734</xdr:rowOff>
    </xdr:from>
    <xdr:to>
      <xdr:col>14</xdr:col>
      <xdr:colOff>485041</xdr:colOff>
      <xdr:row>34</xdr:row>
      <xdr:rowOff>8059</xdr:rowOff>
    </xdr:to>
    <xdr:sp macro="" textlink="">
      <xdr:nvSpPr>
        <xdr:cNvPr id="17" name="TextBox 16">
          <a:extLst>
            <a:ext uri="{FF2B5EF4-FFF2-40B4-BE49-F238E27FC236}">
              <a16:creationId xmlns:a16="http://schemas.microsoft.com/office/drawing/2014/main" id="{44B40233-0944-44FA-A3F2-51D2A7DC1B17}"/>
            </a:ext>
          </a:extLst>
        </xdr:cNvPr>
        <xdr:cNvSpPr txBox="1"/>
      </xdr:nvSpPr>
      <xdr:spPr>
        <a:xfrm>
          <a:off x="8443985" y="6405196"/>
          <a:ext cx="1683287" cy="328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48515F"/>
              </a:solidFill>
              <a:latin typeface="Abadi" panose="020F0502020204030204" pitchFamily="34" charset="0"/>
            </a:rPr>
            <a:t>Trip by Month</a:t>
          </a:r>
        </a:p>
      </xdr:txBody>
    </xdr:sp>
    <xdr:clientData/>
  </xdr:twoCellAnchor>
  <xdr:twoCellAnchor>
    <xdr:from>
      <xdr:col>12</xdr:col>
      <xdr:colOff>131747</xdr:colOff>
      <xdr:row>20</xdr:row>
      <xdr:rowOff>56082</xdr:rowOff>
    </xdr:from>
    <xdr:to>
      <xdr:col>18</xdr:col>
      <xdr:colOff>600074</xdr:colOff>
      <xdr:row>30</xdr:row>
      <xdr:rowOff>78337</xdr:rowOff>
    </xdr:to>
    <xdr:graphicFrame macro="">
      <xdr:nvGraphicFramePr>
        <xdr:cNvPr id="18" name="Chart 17">
          <a:extLst>
            <a:ext uri="{FF2B5EF4-FFF2-40B4-BE49-F238E27FC236}">
              <a16:creationId xmlns:a16="http://schemas.microsoft.com/office/drawing/2014/main" id="{DB6AAF20-6F94-4011-A99B-0CAF2ADED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12</xdr:col>
      <xdr:colOff>173354</xdr:colOff>
      <xdr:row>19</xdr:row>
      <xdr:rowOff>104775</xdr:rowOff>
    </xdr:from>
    <xdr:to>
      <xdr:col>14</xdr:col>
      <xdr:colOff>476249</xdr:colOff>
      <xdr:row>21</xdr:row>
      <xdr:rowOff>38100</xdr:rowOff>
    </xdr:to>
    <xdr:sp macro="" textlink="">
      <xdr:nvSpPr>
        <xdr:cNvPr id="31" name="TextBox 30">
          <a:extLst>
            <a:ext uri="{FF2B5EF4-FFF2-40B4-BE49-F238E27FC236}">
              <a16:creationId xmlns:a16="http://schemas.microsoft.com/office/drawing/2014/main" id="{46B3FBBD-B0B3-4583-AA9F-C1427C347B3E}"/>
            </a:ext>
          </a:extLst>
        </xdr:cNvPr>
        <xdr:cNvSpPr txBox="1"/>
      </xdr:nvSpPr>
      <xdr:spPr>
        <a:xfrm>
          <a:off x="8402954" y="3905250"/>
          <a:ext cx="167449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48515F"/>
              </a:solidFill>
              <a:latin typeface="Abadi" panose="020F0502020204030204" pitchFamily="34" charset="0"/>
            </a:rPr>
            <a:t>Route Frequency</a:t>
          </a:r>
        </a:p>
      </xdr:txBody>
    </xdr:sp>
    <xdr:clientData/>
  </xdr:twoCellAnchor>
  <xdr:twoCellAnchor>
    <xdr:from>
      <xdr:col>1</xdr:col>
      <xdr:colOff>140931</xdr:colOff>
      <xdr:row>23</xdr:row>
      <xdr:rowOff>165230</xdr:rowOff>
    </xdr:from>
    <xdr:to>
      <xdr:col>2</xdr:col>
      <xdr:colOff>4354</xdr:colOff>
      <xdr:row>26</xdr:row>
      <xdr:rowOff>116127</xdr:rowOff>
    </xdr:to>
    <xdr:sp macro="" textlink="">
      <xdr:nvSpPr>
        <xdr:cNvPr id="50" name="Flowchart: Connector 49">
          <a:extLst>
            <a:ext uri="{FF2B5EF4-FFF2-40B4-BE49-F238E27FC236}">
              <a16:creationId xmlns:a16="http://schemas.microsoft.com/office/drawing/2014/main" id="{155E87CA-F548-F58A-03D6-6F15FE934669}"/>
            </a:ext>
          </a:extLst>
        </xdr:cNvPr>
        <xdr:cNvSpPr/>
      </xdr:nvSpPr>
      <xdr:spPr>
        <a:xfrm>
          <a:off x="826148" y="4747921"/>
          <a:ext cx="548640" cy="548640"/>
        </a:xfrm>
        <a:prstGeom prst="flowChartConnector">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139098</xdr:colOff>
      <xdr:row>23</xdr:row>
      <xdr:rowOff>160175</xdr:rowOff>
    </xdr:from>
    <xdr:to>
      <xdr:col>1</xdr:col>
      <xdr:colOff>687738</xdr:colOff>
      <xdr:row>26</xdr:row>
      <xdr:rowOff>110740</xdr:rowOff>
    </xdr:to>
    <xdr:sp macro="" textlink="">
      <xdr:nvSpPr>
        <xdr:cNvPr id="36" name="Flowchart: Connector 35">
          <a:extLst>
            <a:ext uri="{FF2B5EF4-FFF2-40B4-BE49-F238E27FC236}">
              <a16:creationId xmlns:a16="http://schemas.microsoft.com/office/drawing/2014/main" id="{34823899-59D0-4478-9244-EBCA2748CD57}"/>
            </a:ext>
          </a:extLst>
        </xdr:cNvPr>
        <xdr:cNvSpPr/>
      </xdr:nvSpPr>
      <xdr:spPr>
        <a:xfrm>
          <a:off x="829661" y="4815519"/>
          <a:ext cx="548640" cy="557784"/>
        </a:xfrm>
        <a:prstGeom prst="flowChartConnector">
          <a:avLst/>
        </a:prstGeom>
        <a:blipFill dpi="0" rotWithShape="1">
          <a:blip xmlns:r="http://schemas.openxmlformats.org/officeDocument/2006/relationships" r:embed="rId22" cstate="print">
            <a:extLst>
              <a:ext uri="{28A0092B-C50C-407E-A947-70E740481C1C}">
                <a14:useLocalDpi xmlns:a14="http://schemas.microsoft.com/office/drawing/2010/main" val="0"/>
              </a:ext>
            </a:extLst>
          </a:blip>
          <a:srcRect/>
          <a:stretch>
            <a:fillRect/>
          </a:stretch>
        </a:blip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573406</xdr:colOff>
      <xdr:row>2</xdr:row>
      <xdr:rowOff>126686</xdr:rowOff>
    </xdr:from>
    <xdr:to>
      <xdr:col>3</xdr:col>
      <xdr:colOff>529593</xdr:colOff>
      <xdr:row>44</xdr:row>
      <xdr:rowOff>166686</xdr:rowOff>
    </xdr:to>
    <xdr:sp macro="" textlink="">
      <xdr:nvSpPr>
        <xdr:cNvPr id="2" name="Rectangle: Top Corners Rounded 1">
          <a:extLst>
            <a:ext uri="{FF2B5EF4-FFF2-40B4-BE49-F238E27FC236}">
              <a16:creationId xmlns:a16="http://schemas.microsoft.com/office/drawing/2014/main" id="{33F6FE02-032B-42D9-9596-246E41319ED6}"/>
            </a:ext>
          </a:extLst>
        </xdr:cNvPr>
        <xdr:cNvSpPr/>
      </xdr:nvSpPr>
      <xdr:spPr>
        <a:xfrm rot="16200000">
          <a:off x="-2683187" y="3788092"/>
          <a:ext cx="8541062" cy="2027875"/>
        </a:xfrm>
        <a:prstGeom prst="round2SameRect">
          <a:avLst>
            <a:gd name="adj1" fmla="val 23101"/>
            <a:gd name="adj2" fmla="val 0"/>
          </a:avLst>
        </a:prstGeom>
        <a:solidFill>
          <a:srgbClr val="EFEF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659085</xdr:colOff>
      <xdr:row>3</xdr:row>
      <xdr:rowOff>33678</xdr:rowOff>
    </xdr:from>
    <xdr:to>
      <xdr:col>3</xdr:col>
      <xdr:colOff>533399</xdr:colOff>
      <xdr:row>44</xdr:row>
      <xdr:rowOff>59532</xdr:rowOff>
    </xdr:to>
    <xdr:sp macro="" textlink="">
      <xdr:nvSpPr>
        <xdr:cNvPr id="3" name="Rectangle: Top Corners Rounded 2">
          <a:extLst>
            <a:ext uri="{FF2B5EF4-FFF2-40B4-BE49-F238E27FC236}">
              <a16:creationId xmlns:a16="http://schemas.microsoft.com/office/drawing/2014/main" id="{4224E957-FC03-416D-AF59-3129E34B13A8}"/>
            </a:ext>
          </a:extLst>
        </xdr:cNvPr>
        <xdr:cNvSpPr/>
      </xdr:nvSpPr>
      <xdr:spPr>
        <a:xfrm rot="16200000">
          <a:off x="-2530169" y="3830151"/>
          <a:ext cx="8324510" cy="1946002"/>
        </a:xfrm>
        <a:prstGeom prst="round2SameRect">
          <a:avLst>
            <a:gd name="adj1" fmla="val 23101"/>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3</xdr:col>
      <xdr:colOff>529572</xdr:colOff>
      <xdr:row>2</xdr:row>
      <xdr:rowOff>123825</xdr:rowOff>
    </xdr:from>
    <xdr:to>
      <xdr:col>19</xdr:col>
      <xdr:colOff>346692</xdr:colOff>
      <xdr:row>3</xdr:row>
      <xdr:rowOff>22255</xdr:rowOff>
    </xdr:to>
    <xdr:sp macro="" textlink="">
      <xdr:nvSpPr>
        <xdr:cNvPr id="4" name="Rectangle 3">
          <a:extLst>
            <a:ext uri="{FF2B5EF4-FFF2-40B4-BE49-F238E27FC236}">
              <a16:creationId xmlns:a16="http://schemas.microsoft.com/office/drawing/2014/main" id="{F0CD7771-98A0-4E8A-A3BA-FB2F8F45AB77}"/>
            </a:ext>
          </a:extLst>
        </xdr:cNvPr>
        <xdr:cNvSpPr/>
      </xdr:nvSpPr>
      <xdr:spPr>
        <a:xfrm>
          <a:off x="2586972" y="523875"/>
          <a:ext cx="10789920" cy="98455"/>
        </a:xfrm>
        <a:prstGeom prst="rect">
          <a:avLst/>
        </a:prstGeom>
        <a:solidFill>
          <a:srgbClr val="EFEF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532755</xdr:colOff>
      <xdr:row>3</xdr:row>
      <xdr:rowOff>24216</xdr:rowOff>
    </xdr:from>
    <xdr:to>
      <xdr:col>19</xdr:col>
      <xdr:colOff>350231</xdr:colOff>
      <xdr:row>13</xdr:row>
      <xdr:rowOff>176615</xdr:rowOff>
    </xdr:to>
    <xdr:sp macro="" textlink="">
      <xdr:nvSpPr>
        <xdr:cNvPr id="5" name="Rectangle 4">
          <a:extLst>
            <a:ext uri="{FF2B5EF4-FFF2-40B4-BE49-F238E27FC236}">
              <a16:creationId xmlns:a16="http://schemas.microsoft.com/office/drawing/2014/main" id="{A66E60A9-F308-4F09-B92C-2301E67A31D1}"/>
            </a:ext>
          </a:extLst>
        </xdr:cNvPr>
        <xdr:cNvSpPr/>
      </xdr:nvSpPr>
      <xdr:spPr>
        <a:xfrm>
          <a:off x="2590155" y="624291"/>
          <a:ext cx="10790276" cy="2152649"/>
        </a:xfrm>
        <a:prstGeom prst="rect">
          <a:avLst/>
        </a:prstGeom>
        <a:gradFill flip="none" rotWithShape="1">
          <a:gsLst>
            <a:gs pos="1000">
              <a:srgbClr val="20375A"/>
            </a:gs>
            <a:gs pos="42000">
              <a:srgbClr val="152031"/>
            </a:gs>
            <a:gs pos="99000">
              <a:srgbClr val="20375A"/>
            </a:gs>
          </a:gsLst>
          <a:lin ang="13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endParaRPr>
        </a:p>
      </xdr:txBody>
    </xdr:sp>
    <xdr:clientData/>
  </xdr:twoCellAnchor>
  <xdr:twoCellAnchor>
    <xdr:from>
      <xdr:col>3</xdr:col>
      <xdr:colOff>536553</xdr:colOff>
      <xdr:row>44</xdr:row>
      <xdr:rowOff>60374</xdr:rowOff>
    </xdr:from>
    <xdr:to>
      <xdr:col>19</xdr:col>
      <xdr:colOff>353673</xdr:colOff>
      <xdr:row>44</xdr:row>
      <xdr:rowOff>158829</xdr:rowOff>
    </xdr:to>
    <xdr:sp macro="" textlink="">
      <xdr:nvSpPr>
        <xdr:cNvPr id="7" name="Rectangle 6">
          <a:extLst>
            <a:ext uri="{FF2B5EF4-FFF2-40B4-BE49-F238E27FC236}">
              <a16:creationId xmlns:a16="http://schemas.microsoft.com/office/drawing/2014/main" id="{92D67F19-1428-4CB8-BE8C-FFBCF1C67E97}"/>
            </a:ext>
          </a:extLst>
        </xdr:cNvPr>
        <xdr:cNvSpPr/>
      </xdr:nvSpPr>
      <xdr:spPr>
        <a:xfrm>
          <a:off x="2608241" y="8966249"/>
          <a:ext cx="10866120" cy="98455"/>
        </a:xfrm>
        <a:prstGeom prst="rect">
          <a:avLst/>
        </a:prstGeom>
        <a:solidFill>
          <a:srgbClr val="EFEF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340563</xdr:colOff>
      <xdr:row>2</xdr:row>
      <xdr:rowOff>123825</xdr:rowOff>
    </xdr:from>
    <xdr:to>
      <xdr:col>25</xdr:col>
      <xdr:colOff>28572</xdr:colOff>
      <xdr:row>44</xdr:row>
      <xdr:rowOff>154780</xdr:rowOff>
    </xdr:to>
    <xdr:sp macro="" textlink="">
      <xdr:nvSpPr>
        <xdr:cNvPr id="8" name="Rectangle: Top Corners Rounded 7">
          <a:extLst>
            <a:ext uri="{FF2B5EF4-FFF2-40B4-BE49-F238E27FC236}">
              <a16:creationId xmlns:a16="http://schemas.microsoft.com/office/drawing/2014/main" id="{C196664D-D426-4612-A6AB-96E233CBD742}"/>
            </a:ext>
          </a:extLst>
        </xdr:cNvPr>
        <xdr:cNvSpPr/>
      </xdr:nvSpPr>
      <xdr:spPr>
        <a:xfrm rot="5400000">
          <a:off x="11110934" y="2878955"/>
          <a:ext cx="8532017" cy="3831384"/>
        </a:xfrm>
        <a:prstGeom prst="round2SameRect">
          <a:avLst>
            <a:gd name="adj1" fmla="val 23101"/>
            <a:gd name="adj2" fmla="val 0"/>
          </a:avLst>
        </a:prstGeom>
        <a:solidFill>
          <a:srgbClr val="EFEF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333374</xdr:colOff>
      <xdr:row>3</xdr:row>
      <xdr:rowOff>23823</xdr:rowOff>
    </xdr:from>
    <xdr:to>
      <xdr:col>24</xdr:col>
      <xdr:colOff>609600</xdr:colOff>
      <xdr:row>44</xdr:row>
      <xdr:rowOff>47625</xdr:rowOff>
    </xdr:to>
    <xdr:sp macro="" textlink="">
      <xdr:nvSpPr>
        <xdr:cNvPr id="9" name="Rectangle: Top Corners Rounded 8">
          <a:extLst>
            <a:ext uri="{FF2B5EF4-FFF2-40B4-BE49-F238E27FC236}">
              <a16:creationId xmlns:a16="http://schemas.microsoft.com/office/drawing/2014/main" id="{5418FA39-0D95-485E-8D60-E2862CC99F5C}"/>
            </a:ext>
          </a:extLst>
        </xdr:cNvPr>
        <xdr:cNvSpPr/>
      </xdr:nvSpPr>
      <xdr:spPr>
        <a:xfrm rot="5400000">
          <a:off x="11157352" y="2927752"/>
          <a:ext cx="8322458" cy="3729038"/>
        </a:xfrm>
        <a:prstGeom prst="round2SameRect">
          <a:avLst>
            <a:gd name="adj1" fmla="val 2181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1</xdr:col>
      <xdr:colOff>504825</xdr:colOff>
      <xdr:row>3</xdr:row>
      <xdr:rowOff>152400</xdr:rowOff>
    </xdr:from>
    <xdr:to>
      <xdr:col>3</xdr:col>
      <xdr:colOff>47625</xdr:colOff>
      <xdr:row>8</xdr:row>
      <xdr:rowOff>66675</xdr:rowOff>
    </xdr:to>
    <xdr:pic>
      <xdr:nvPicPr>
        <xdr:cNvPr id="10" name="Graphic 9" descr="Freight with solid fill">
          <a:extLst>
            <a:ext uri="{FF2B5EF4-FFF2-40B4-BE49-F238E27FC236}">
              <a16:creationId xmlns:a16="http://schemas.microsoft.com/office/drawing/2014/main" id="{11EC9A86-6A51-4E3E-9972-C4661FA55A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90625" y="752475"/>
          <a:ext cx="914400" cy="914400"/>
        </a:xfrm>
        <a:prstGeom prst="rect">
          <a:avLst/>
        </a:prstGeom>
      </xdr:spPr>
    </xdr:pic>
    <xdr:clientData/>
  </xdr:twoCellAnchor>
  <xdr:twoCellAnchor>
    <xdr:from>
      <xdr:col>1</xdr:col>
      <xdr:colOff>342901</xdr:colOff>
      <xdr:row>9</xdr:row>
      <xdr:rowOff>139734</xdr:rowOff>
    </xdr:from>
    <xdr:to>
      <xdr:col>3</xdr:col>
      <xdr:colOff>161925</xdr:colOff>
      <xdr:row>11</xdr:row>
      <xdr:rowOff>14003</xdr:rowOff>
    </xdr:to>
    <xdr:sp macro="" textlink="">
      <xdr:nvSpPr>
        <xdr:cNvPr id="12" name="TextBox 11">
          <a:hlinkClick xmlns:r="http://schemas.openxmlformats.org/officeDocument/2006/relationships" r:id="rId3"/>
          <a:extLst>
            <a:ext uri="{FF2B5EF4-FFF2-40B4-BE49-F238E27FC236}">
              <a16:creationId xmlns:a16="http://schemas.microsoft.com/office/drawing/2014/main" id="{0F0F90CD-A17D-4074-AE0F-D42FD8E69493}"/>
            </a:ext>
          </a:extLst>
        </xdr:cNvPr>
        <xdr:cNvSpPr txBox="1"/>
      </xdr:nvSpPr>
      <xdr:spPr>
        <a:xfrm>
          <a:off x="1028701" y="1939959"/>
          <a:ext cx="1190624"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solidFill>
                <a:srgbClr val="48515F"/>
              </a:solidFill>
              <a:latin typeface="Abadi" panose="020F0502020204030204" pitchFamily="34" charset="0"/>
            </a:rPr>
            <a:t>Dashboard</a:t>
          </a:r>
          <a:endParaRPr lang="en-GB" sz="1400">
            <a:solidFill>
              <a:srgbClr val="48515F"/>
            </a:solidFill>
            <a:latin typeface="Abadi" panose="020F0502020204030204" pitchFamily="34" charset="0"/>
          </a:endParaRPr>
        </a:p>
      </xdr:txBody>
    </xdr:sp>
    <xdr:clientData/>
  </xdr:twoCellAnchor>
  <xdr:twoCellAnchor>
    <xdr:from>
      <xdr:col>0</xdr:col>
      <xdr:colOff>653885</xdr:colOff>
      <xdr:row>12</xdr:row>
      <xdr:rowOff>107918</xdr:rowOff>
    </xdr:from>
    <xdr:to>
      <xdr:col>1</xdr:col>
      <xdr:colOff>13062</xdr:colOff>
      <xdr:row>13</xdr:row>
      <xdr:rowOff>148492</xdr:rowOff>
    </xdr:to>
    <xdr:sp macro="" textlink="">
      <xdr:nvSpPr>
        <xdr:cNvPr id="14" name="Rectangle: Top Corners Rounded 13">
          <a:extLst>
            <a:ext uri="{FF2B5EF4-FFF2-40B4-BE49-F238E27FC236}">
              <a16:creationId xmlns:a16="http://schemas.microsoft.com/office/drawing/2014/main" id="{37D5D7ED-26B2-420A-AAB4-77128033033B}"/>
            </a:ext>
          </a:extLst>
        </xdr:cNvPr>
        <xdr:cNvSpPr/>
      </xdr:nvSpPr>
      <xdr:spPr>
        <a:xfrm rot="5400000">
          <a:off x="556074" y="2606029"/>
          <a:ext cx="240599" cy="44977"/>
        </a:xfrm>
        <a:prstGeom prst="round2SameRect">
          <a:avLst>
            <a:gd name="adj1" fmla="val 50000"/>
            <a:gd name="adj2" fmla="val 0"/>
          </a:avLst>
        </a:prstGeom>
        <a:solidFill>
          <a:srgbClr val="CF5C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600447</xdr:colOff>
      <xdr:row>3</xdr:row>
      <xdr:rowOff>118952</xdr:rowOff>
    </xdr:from>
    <xdr:to>
      <xdr:col>10</xdr:col>
      <xdr:colOff>599951</xdr:colOff>
      <xdr:row>7</xdr:row>
      <xdr:rowOff>179367</xdr:rowOff>
    </xdr:to>
    <xdr:sp macro="" textlink="">
      <xdr:nvSpPr>
        <xdr:cNvPr id="15" name="TextBox 14">
          <a:extLst>
            <a:ext uri="{FF2B5EF4-FFF2-40B4-BE49-F238E27FC236}">
              <a16:creationId xmlns:a16="http://schemas.microsoft.com/office/drawing/2014/main" id="{5AE4E625-5ECD-488A-8783-64920734D9B3}"/>
            </a:ext>
          </a:extLst>
        </xdr:cNvPr>
        <xdr:cNvSpPr txBox="1"/>
      </xdr:nvSpPr>
      <xdr:spPr>
        <a:xfrm>
          <a:off x="2657847" y="719027"/>
          <a:ext cx="4800104" cy="860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a:solidFill>
                <a:schemeClr val="bg1"/>
              </a:solidFill>
              <a:latin typeface="Abadi" panose="020F0502020204030204" pitchFamily="34" charset="0"/>
            </a:rPr>
            <a:t>Fleet Management Transportation &amp; Logistics </a:t>
          </a:r>
        </a:p>
        <a:p>
          <a:pPr algn="l"/>
          <a:r>
            <a:rPr lang="en-GB" sz="1600">
              <a:solidFill>
                <a:schemeClr val="bg1"/>
              </a:solidFill>
              <a:latin typeface="Abadi" panose="020F0502020204030204" pitchFamily="34" charset="0"/>
            </a:rPr>
            <a:t>Dashboard </a:t>
          </a:r>
          <a:r>
            <a:rPr lang="en-GB" sz="1100">
              <a:solidFill>
                <a:schemeClr val="bg1"/>
              </a:solidFill>
              <a:latin typeface="Abadi" panose="020F0502020204030204" pitchFamily="34" charset="0"/>
            </a:rPr>
            <a:t>2026</a:t>
          </a:r>
        </a:p>
      </xdr:txBody>
    </xdr:sp>
    <xdr:clientData/>
  </xdr:twoCellAnchor>
  <xdr:twoCellAnchor>
    <xdr:from>
      <xdr:col>3</xdr:col>
      <xdr:colOff>617270</xdr:colOff>
      <xdr:row>7</xdr:row>
      <xdr:rowOff>5393</xdr:rowOff>
    </xdr:from>
    <xdr:to>
      <xdr:col>10</xdr:col>
      <xdr:colOff>616774</xdr:colOff>
      <xdr:row>11</xdr:row>
      <xdr:rowOff>65809</xdr:rowOff>
    </xdr:to>
    <xdr:sp macro="" textlink="">
      <xdr:nvSpPr>
        <xdr:cNvPr id="16" name="TextBox 15">
          <a:extLst>
            <a:ext uri="{FF2B5EF4-FFF2-40B4-BE49-F238E27FC236}">
              <a16:creationId xmlns:a16="http://schemas.microsoft.com/office/drawing/2014/main" id="{885EAC82-CCD8-4ED0-A47F-5D24E2A16099}"/>
            </a:ext>
          </a:extLst>
        </xdr:cNvPr>
        <xdr:cNvSpPr txBox="1"/>
      </xdr:nvSpPr>
      <xdr:spPr>
        <a:xfrm>
          <a:off x="2674670" y="1405568"/>
          <a:ext cx="4800104" cy="860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solidFill>
                <a:schemeClr val="bg1"/>
              </a:solidFill>
              <a:latin typeface="Abadi" panose="020F0502020204030204" pitchFamily="34" charset="0"/>
            </a:rPr>
            <a:t>Overview</a:t>
          </a:r>
        </a:p>
      </xdr:txBody>
    </xdr:sp>
    <xdr:clientData/>
  </xdr:twoCellAnchor>
  <xdr:twoCellAnchor>
    <xdr:from>
      <xdr:col>13</xdr:col>
      <xdr:colOff>482436</xdr:colOff>
      <xdr:row>3</xdr:row>
      <xdr:rowOff>27833</xdr:rowOff>
    </xdr:from>
    <xdr:to>
      <xdr:col>19</xdr:col>
      <xdr:colOff>325581</xdr:colOff>
      <xdr:row>11</xdr:row>
      <xdr:rowOff>178006</xdr:rowOff>
    </xdr:to>
    <xdr:pic>
      <xdr:nvPicPr>
        <xdr:cNvPr id="17" name="Picture 16">
          <a:extLst>
            <a:ext uri="{FF2B5EF4-FFF2-40B4-BE49-F238E27FC236}">
              <a16:creationId xmlns:a16="http://schemas.microsoft.com/office/drawing/2014/main" id="{67263EBA-E7D3-402A-AD96-35B29DBCF8A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9397836" y="627908"/>
          <a:ext cx="3957945" cy="1750373"/>
        </a:xfrm>
        <a:prstGeom prst="rect">
          <a:avLst/>
        </a:prstGeom>
      </xdr:spPr>
    </xdr:pic>
    <xdr:clientData/>
  </xdr:twoCellAnchor>
  <xdr:twoCellAnchor>
    <xdr:from>
      <xdr:col>14</xdr:col>
      <xdr:colOff>284513</xdr:colOff>
      <xdr:row>8</xdr:row>
      <xdr:rowOff>105146</xdr:rowOff>
    </xdr:from>
    <xdr:to>
      <xdr:col>14</xdr:col>
      <xdr:colOff>340178</xdr:colOff>
      <xdr:row>8</xdr:row>
      <xdr:rowOff>160811</xdr:rowOff>
    </xdr:to>
    <xdr:sp macro="" textlink="">
      <xdr:nvSpPr>
        <xdr:cNvPr id="18" name="Oval 17">
          <a:extLst>
            <a:ext uri="{FF2B5EF4-FFF2-40B4-BE49-F238E27FC236}">
              <a16:creationId xmlns:a16="http://schemas.microsoft.com/office/drawing/2014/main" id="{EAC3DA53-A95B-4DE7-BD42-424BDB2CD854}"/>
            </a:ext>
          </a:extLst>
        </xdr:cNvPr>
        <xdr:cNvSpPr/>
      </xdr:nvSpPr>
      <xdr:spPr>
        <a:xfrm>
          <a:off x="9885713" y="1705346"/>
          <a:ext cx="55665" cy="55665"/>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333994</xdr:colOff>
      <xdr:row>6</xdr:row>
      <xdr:rowOff>55668</xdr:rowOff>
    </xdr:from>
    <xdr:to>
      <xdr:col>17</xdr:col>
      <xdr:colOff>222664</xdr:colOff>
      <xdr:row>9</xdr:row>
      <xdr:rowOff>68035</xdr:rowOff>
    </xdr:to>
    <xdr:sp macro="" textlink="">
      <xdr:nvSpPr>
        <xdr:cNvPr id="19" name="TextBox 18">
          <a:extLst>
            <a:ext uri="{FF2B5EF4-FFF2-40B4-BE49-F238E27FC236}">
              <a16:creationId xmlns:a16="http://schemas.microsoft.com/office/drawing/2014/main" id="{73A133DC-AC36-494F-8A28-2D8D9D96EFB9}"/>
            </a:ext>
          </a:extLst>
        </xdr:cNvPr>
        <xdr:cNvSpPr txBox="1"/>
      </xdr:nvSpPr>
      <xdr:spPr>
        <a:xfrm>
          <a:off x="10620994" y="1255818"/>
          <a:ext cx="1260270" cy="612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050">
              <a:solidFill>
                <a:schemeClr val="bg1"/>
              </a:solidFill>
              <a:latin typeface="Abadi" panose="020F0502020204030204" pitchFamily="34" charset="0"/>
            </a:rPr>
            <a:t>Kuala Lumpur,</a:t>
          </a:r>
          <a:endParaRPr lang="en-GB" sz="1050" baseline="0">
            <a:solidFill>
              <a:schemeClr val="bg1"/>
            </a:solidFill>
            <a:latin typeface="Abadi" panose="020F0502020204030204" pitchFamily="34" charset="0"/>
          </a:endParaRPr>
        </a:p>
        <a:p>
          <a:pPr algn="l"/>
          <a:r>
            <a:rPr lang="en-GB" sz="1050">
              <a:solidFill>
                <a:schemeClr val="bg1"/>
              </a:solidFill>
              <a:latin typeface="Abadi" panose="020F0502020204030204" pitchFamily="34" charset="0"/>
            </a:rPr>
            <a:t>Malaysia</a:t>
          </a:r>
        </a:p>
      </xdr:txBody>
    </xdr:sp>
    <xdr:clientData/>
  </xdr:twoCellAnchor>
  <xdr:twoCellAnchor>
    <xdr:from>
      <xdr:col>15</xdr:col>
      <xdr:colOff>445325</xdr:colOff>
      <xdr:row>6</xdr:row>
      <xdr:rowOff>43296</xdr:rowOff>
    </xdr:from>
    <xdr:to>
      <xdr:col>16</xdr:col>
      <xdr:colOff>13606</xdr:colOff>
      <xdr:row>6</xdr:row>
      <xdr:rowOff>170708</xdr:rowOff>
    </xdr:to>
    <xdr:pic>
      <xdr:nvPicPr>
        <xdr:cNvPr id="20" name="Picture 19">
          <a:extLst>
            <a:ext uri="{FF2B5EF4-FFF2-40B4-BE49-F238E27FC236}">
              <a16:creationId xmlns:a16="http://schemas.microsoft.com/office/drawing/2014/main" id="{EF2B6B1E-9EF5-476E-BA17-287A9211CAC6}"/>
            </a:ext>
          </a:extLst>
        </xdr:cNvPr>
        <xdr:cNvPicPr>
          <a:picLocks noChangeAspect="1"/>
        </xdr:cNvPicPr>
      </xdr:nvPicPr>
      <xdr:blipFill>
        <a:blip xmlns:r="http://schemas.openxmlformats.org/officeDocument/2006/relationships" r:embed="rId6"/>
        <a:stretch>
          <a:fillRect/>
        </a:stretch>
      </xdr:blipFill>
      <xdr:spPr>
        <a:xfrm>
          <a:off x="10732325" y="1243446"/>
          <a:ext cx="254081" cy="127412"/>
        </a:xfrm>
        <a:prstGeom prst="rect">
          <a:avLst/>
        </a:prstGeom>
        <a:ln>
          <a:solidFill>
            <a:schemeClr val="bg1"/>
          </a:solidFill>
        </a:ln>
      </xdr:spPr>
    </xdr:pic>
    <xdr:clientData/>
  </xdr:twoCellAnchor>
  <xdr:twoCellAnchor>
    <xdr:from>
      <xdr:col>20</xdr:col>
      <xdr:colOff>28575</xdr:colOff>
      <xdr:row>5</xdr:row>
      <xdr:rowOff>0</xdr:rowOff>
    </xdr:from>
    <xdr:to>
      <xdr:col>24</xdr:col>
      <xdr:colOff>120015</xdr:colOff>
      <xdr:row>10</xdr:row>
      <xdr:rowOff>188595</xdr:rowOff>
    </xdr:to>
    <xdr:sp macro="" textlink="">
      <xdr:nvSpPr>
        <xdr:cNvPr id="28" name="Rectangle: Rounded Corners 27">
          <a:extLst>
            <a:ext uri="{FF2B5EF4-FFF2-40B4-BE49-F238E27FC236}">
              <a16:creationId xmlns:a16="http://schemas.microsoft.com/office/drawing/2014/main" id="{9D63EBC2-6D3A-474F-B5EA-52C235156B8E}"/>
            </a:ext>
          </a:extLst>
        </xdr:cNvPr>
        <xdr:cNvSpPr/>
      </xdr:nvSpPr>
      <xdr:spPr>
        <a:xfrm>
          <a:off x="13744575" y="1000125"/>
          <a:ext cx="2834640" cy="1188720"/>
        </a:xfrm>
        <a:prstGeom prst="roundRect">
          <a:avLst/>
        </a:prstGeom>
        <a:solidFill>
          <a:srgbClr val="FAF4D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354330</xdr:colOff>
      <xdr:row>5</xdr:row>
      <xdr:rowOff>139700</xdr:rowOff>
    </xdr:from>
    <xdr:to>
      <xdr:col>22</xdr:col>
      <xdr:colOff>173354</xdr:colOff>
      <xdr:row>7</xdr:row>
      <xdr:rowOff>13969</xdr:rowOff>
    </xdr:to>
    <xdr:sp macro="" textlink="">
      <xdr:nvSpPr>
        <xdr:cNvPr id="29" name="TextBox 28">
          <a:extLst>
            <a:ext uri="{FF2B5EF4-FFF2-40B4-BE49-F238E27FC236}">
              <a16:creationId xmlns:a16="http://schemas.microsoft.com/office/drawing/2014/main" id="{C707EB55-63DC-4F98-94A1-3D909182D72B}"/>
            </a:ext>
          </a:extLst>
        </xdr:cNvPr>
        <xdr:cNvSpPr txBox="1"/>
      </xdr:nvSpPr>
      <xdr:spPr>
        <a:xfrm>
          <a:off x="14070330" y="1139825"/>
          <a:ext cx="1190624"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rgbClr val="48515F"/>
              </a:solidFill>
              <a:latin typeface="Abadi" panose="020F0502020204030204" pitchFamily="34" charset="0"/>
            </a:rPr>
            <a:t>Total</a:t>
          </a:r>
          <a:r>
            <a:rPr lang="en-GB" sz="1400" baseline="0">
              <a:solidFill>
                <a:srgbClr val="48515F"/>
              </a:solidFill>
              <a:latin typeface="Abadi" panose="020F0502020204030204" pitchFamily="34" charset="0"/>
            </a:rPr>
            <a:t> Trips</a:t>
          </a:r>
          <a:endParaRPr lang="en-GB" sz="1400">
            <a:solidFill>
              <a:srgbClr val="48515F"/>
            </a:solidFill>
            <a:latin typeface="Abadi" panose="020F0502020204030204" pitchFamily="34" charset="0"/>
          </a:endParaRPr>
        </a:p>
      </xdr:txBody>
    </xdr:sp>
    <xdr:clientData/>
  </xdr:twoCellAnchor>
  <xdr:twoCellAnchor>
    <xdr:from>
      <xdr:col>20</xdr:col>
      <xdr:colOff>354330</xdr:colOff>
      <xdr:row>7</xdr:row>
      <xdr:rowOff>76200</xdr:rowOff>
    </xdr:from>
    <xdr:to>
      <xdr:col>22</xdr:col>
      <xdr:colOff>173354</xdr:colOff>
      <xdr:row>8</xdr:row>
      <xdr:rowOff>150494</xdr:rowOff>
    </xdr:to>
    <xdr:sp macro="" textlink="Pivottables!B5">
      <xdr:nvSpPr>
        <xdr:cNvPr id="30" name="TextBox 29">
          <a:extLst>
            <a:ext uri="{FF2B5EF4-FFF2-40B4-BE49-F238E27FC236}">
              <a16:creationId xmlns:a16="http://schemas.microsoft.com/office/drawing/2014/main" id="{9E674F01-E38D-432C-81AD-056108D91D22}"/>
            </a:ext>
          </a:extLst>
        </xdr:cNvPr>
        <xdr:cNvSpPr txBox="1"/>
      </xdr:nvSpPr>
      <xdr:spPr>
        <a:xfrm>
          <a:off x="14070330" y="1476375"/>
          <a:ext cx="1190624"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5CEB82-129F-43F2-B3C4-2A5C907DB357}" type="TxLink">
            <a:rPr lang="en-US" sz="2400" b="0" i="0" u="none" strike="noStrike">
              <a:solidFill>
                <a:srgbClr val="48515F"/>
              </a:solidFill>
              <a:latin typeface="Abadi" panose="020F0502020204030204" pitchFamily="34" charset="0"/>
              <a:ea typeface="+mn-ea"/>
              <a:cs typeface="+mn-cs"/>
            </a:rPr>
            <a:pPr marL="0" indent="0" algn="ctr"/>
            <a:t>24</a:t>
          </a:fld>
          <a:endParaRPr lang="en-US" sz="2400">
            <a:solidFill>
              <a:srgbClr val="48515F"/>
            </a:solidFill>
            <a:latin typeface="Abadi" panose="020F0502020204030204" pitchFamily="34" charset="0"/>
            <a:ea typeface="+mn-ea"/>
            <a:cs typeface="+mn-cs"/>
          </a:endParaRPr>
        </a:p>
      </xdr:txBody>
    </xdr:sp>
    <xdr:clientData/>
  </xdr:twoCellAnchor>
  <xdr:twoCellAnchor>
    <xdr:from>
      <xdr:col>20</xdr:col>
      <xdr:colOff>78105</xdr:colOff>
      <xdr:row>9</xdr:row>
      <xdr:rowOff>19050</xdr:rowOff>
    </xdr:from>
    <xdr:to>
      <xdr:col>22</xdr:col>
      <xdr:colOff>133351</xdr:colOff>
      <xdr:row>10</xdr:row>
      <xdr:rowOff>93344</xdr:rowOff>
    </xdr:to>
    <xdr:sp macro="" textlink="">
      <xdr:nvSpPr>
        <xdr:cNvPr id="31" name="TextBox 30">
          <a:extLst>
            <a:ext uri="{FF2B5EF4-FFF2-40B4-BE49-F238E27FC236}">
              <a16:creationId xmlns:a16="http://schemas.microsoft.com/office/drawing/2014/main" id="{F200B5BB-FA34-4B03-8802-3070A4ED79AD}"/>
            </a:ext>
          </a:extLst>
        </xdr:cNvPr>
        <xdr:cNvSpPr txBox="1"/>
      </xdr:nvSpPr>
      <xdr:spPr>
        <a:xfrm>
          <a:off x="13794105" y="1819275"/>
          <a:ext cx="1426846"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rgbClr val="48515F"/>
              </a:solidFill>
              <a:latin typeface="Abadi" panose="020F0502020204030204" pitchFamily="34" charset="0"/>
            </a:rPr>
            <a:t>Hired Transportation</a:t>
          </a:r>
        </a:p>
      </xdr:txBody>
    </xdr:sp>
    <xdr:clientData/>
  </xdr:twoCellAnchor>
  <xdr:twoCellAnchor>
    <xdr:from>
      <xdr:col>21</xdr:col>
      <xdr:colOff>676275</xdr:colOff>
      <xdr:row>9</xdr:row>
      <xdr:rowOff>28575</xdr:rowOff>
    </xdr:from>
    <xdr:to>
      <xdr:col>22</xdr:col>
      <xdr:colOff>266700</xdr:colOff>
      <xdr:row>10</xdr:row>
      <xdr:rowOff>102869</xdr:rowOff>
    </xdr:to>
    <xdr:sp macro="" textlink="Pivottables!H6">
      <xdr:nvSpPr>
        <xdr:cNvPr id="32" name="TextBox 31">
          <a:extLst>
            <a:ext uri="{FF2B5EF4-FFF2-40B4-BE49-F238E27FC236}">
              <a16:creationId xmlns:a16="http://schemas.microsoft.com/office/drawing/2014/main" id="{78BA8326-1307-4BDA-A34E-DF67335AD0D0}"/>
            </a:ext>
          </a:extLst>
        </xdr:cNvPr>
        <xdr:cNvSpPr txBox="1"/>
      </xdr:nvSpPr>
      <xdr:spPr>
        <a:xfrm>
          <a:off x="15078075" y="1828800"/>
          <a:ext cx="276225"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9B042D1-9680-44B7-8E98-FFC416C4137A}" type="TxLink">
            <a:rPr lang="en-US" sz="1400" b="0" i="0" u="none" strike="noStrike">
              <a:solidFill>
                <a:srgbClr val="FF0000"/>
              </a:solidFill>
              <a:latin typeface="Abadi" panose="020B0604020104020204" pitchFamily="34" charset="0"/>
              <a:ea typeface="Calibri"/>
              <a:cs typeface="Calibri"/>
            </a:rPr>
            <a:pPr marL="0" indent="0" algn="ctr"/>
            <a:t>5</a:t>
          </a:fld>
          <a:endParaRPr lang="en-US" sz="2400">
            <a:solidFill>
              <a:srgbClr val="FF0000"/>
            </a:solidFill>
            <a:latin typeface="Abadi" panose="020B0604020104020204" pitchFamily="34" charset="0"/>
            <a:ea typeface="+mn-ea"/>
            <a:cs typeface="+mn-cs"/>
          </a:endParaRPr>
        </a:p>
      </xdr:txBody>
    </xdr:sp>
    <xdr:clientData/>
  </xdr:twoCellAnchor>
  <xdr:twoCellAnchor>
    <xdr:from>
      <xdr:col>22</xdr:col>
      <xdr:colOff>504825</xdr:colOff>
      <xdr:row>8</xdr:row>
      <xdr:rowOff>106681</xdr:rowOff>
    </xdr:from>
    <xdr:to>
      <xdr:col>23</xdr:col>
      <xdr:colOff>638175</xdr:colOff>
      <xdr:row>8</xdr:row>
      <xdr:rowOff>152400</xdr:rowOff>
    </xdr:to>
    <xdr:sp macro="" textlink="">
      <xdr:nvSpPr>
        <xdr:cNvPr id="33" name="Oval 32">
          <a:extLst>
            <a:ext uri="{FF2B5EF4-FFF2-40B4-BE49-F238E27FC236}">
              <a16:creationId xmlns:a16="http://schemas.microsoft.com/office/drawing/2014/main" id="{774A33CA-3C19-449B-81E5-C4D1DE126654}"/>
            </a:ext>
          </a:extLst>
        </xdr:cNvPr>
        <xdr:cNvSpPr/>
      </xdr:nvSpPr>
      <xdr:spPr>
        <a:xfrm>
          <a:off x="15592425" y="1706881"/>
          <a:ext cx="819150" cy="45719"/>
        </a:xfrm>
        <a:prstGeom prst="ellipse">
          <a:avLst/>
        </a:prstGeom>
        <a:effectLst>
          <a:outerShdw blurRad="101600" dist="190500" dir="54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22</xdr:col>
      <xdr:colOff>289778</xdr:colOff>
      <xdr:row>5</xdr:row>
      <xdr:rowOff>86225</xdr:rowOff>
    </xdr:from>
    <xdr:to>
      <xdr:col>24</xdr:col>
      <xdr:colOff>114300</xdr:colOff>
      <xdr:row>9</xdr:row>
      <xdr:rowOff>118110</xdr:rowOff>
    </xdr:to>
    <xdr:pic>
      <xdr:nvPicPr>
        <xdr:cNvPr id="34" name="Picture 33">
          <a:extLst>
            <a:ext uri="{FF2B5EF4-FFF2-40B4-BE49-F238E27FC236}">
              <a16:creationId xmlns:a16="http://schemas.microsoft.com/office/drawing/2014/main" id="{43EC7FB5-2D03-488D-8F12-D1844312B807}"/>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34049" r="59437" b="37528"/>
        <a:stretch>
          <a:fillRect/>
        </a:stretch>
      </xdr:blipFill>
      <xdr:spPr>
        <a:xfrm>
          <a:off x="15377378" y="1086350"/>
          <a:ext cx="1196122" cy="837700"/>
        </a:xfrm>
        <a:prstGeom prst="rect">
          <a:avLst/>
        </a:prstGeom>
      </xdr:spPr>
    </xdr:pic>
    <xdr:clientData/>
  </xdr:twoCellAnchor>
  <xdr:twoCellAnchor>
    <xdr:from>
      <xdr:col>21</xdr:col>
      <xdr:colOff>354330</xdr:colOff>
      <xdr:row>9</xdr:row>
      <xdr:rowOff>28575</xdr:rowOff>
    </xdr:from>
    <xdr:to>
      <xdr:col>23</xdr:col>
      <xdr:colOff>409576</xdr:colOff>
      <xdr:row>10</xdr:row>
      <xdr:rowOff>102869</xdr:rowOff>
    </xdr:to>
    <xdr:sp macro="" textlink="">
      <xdr:nvSpPr>
        <xdr:cNvPr id="35" name="TextBox 34">
          <a:extLst>
            <a:ext uri="{FF2B5EF4-FFF2-40B4-BE49-F238E27FC236}">
              <a16:creationId xmlns:a16="http://schemas.microsoft.com/office/drawing/2014/main" id="{1704CCAF-E066-4A8D-A614-2A9DC5CF2600}"/>
            </a:ext>
          </a:extLst>
        </xdr:cNvPr>
        <xdr:cNvSpPr txBox="1"/>
      </xdr:nvSpPr>
      <xdr:spPr>
        <a:xfrm>
          <a:off x="14756130" y="1828800"/>
          <a:ext cx="1426846"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rgbClr val="FF0000"/>
              </a:solidFill>
              <a:latin typeface="Abadi" panose="020F0502020204030204" pitchFamily="34" charset="0"/>
            </a:rPr>
            <a:t>Trips</a:t>
          </a:r>
        </a:p>
      </xdr:txBody>
    </xdr:sp>
    <xdr:clientData/>
  </xdr:twoCellAnchor>
  <xdr:twoCellAnchor>
    <xdr:from>
      <xdr:col>0</xdr:col>
      <xdr:colOff>659130</xdr:colOff>
      <xdr:row>17</xdr:row>
      <xdr:rowOff>171450</xdr:rowOff>
    </xdr:from>
    <xdr:to>
      <xdr:col>2</xdr:col>
      <xdr:colOff>478154</xdr:colOff>
      <xdr:row>19</xdr:row>
      <xdr:rowOff>45719</xdr:rowOff>
    </xdr:to>
    <xdr:sp macro="" textlink="">
      <xdr:nvSpPr>
        <xdr:cNvPr id="36" name="TextBox 35">
          <a:extLst>
            <a:ext uri="{FF2B5EF4-FFF2-40B4-BE49-F238E27FC236}">
              <a16:creationId xmlns:a16="http://schemas.microsoft.com/office/drawing/2014/main" id="{3C6B8960-F188-4F36-AC4A-685A7E593318}"/>
            </a:ext>
          </a:extLst>
        </xdr:cNvPr>
        <xdr:cNvSpPr txBox="1"/>
      </xdr:nvSpPr>
      <xdr:spPr>
        <a:xfrm>
          <a:off x="659130" y="3571875"/>
          <a:ext cx="1190624"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CF5C4A"/>
              </a:solidFill>
              <a:latin typeface="Abadi" panose="020F0502020204030204" pitchFamily="34" charset="0"/>
            </a:rPr>
            <a:t>Drivers</a:t>
          </a:r>
        </a:p>
      </xdr:txBody>
    </xdr:sp>
    <xdr:clientData/>
  </xdr:twoCellAnchor>
  <xdr:twoCellAnchor>
    <xdr:from>
      <xdr:col>0</xdr:col>
      <xdr:colOff>668655</xdr:colOff>
      <xdr:row>30</xdr:row>
      <xdr:rowOff>85725</xdr:rowOff>
    </xdr:from>
    <xdr:to>
      <xdr:col>2</xdr:col>
      <xdr:colOff>487679</xdr:colOff>
      <xdr:row>31</xdr:row>
      <xdr:rowOff>160019</xdr:rowOff>
    </xdr:to>
    <xdr:sp macro="" textlink="">
      <xdr:nvSpPr>
        <xdr:cNvPr id="37" name="TextBox 36">
          <a:extLst>
            <a:ext uri="{FF2B5EF4-FFF2-40B4-BE49-F238E27FC236}">
              <a16:creationId xmlns:a16="http://schemas.microsoft.com/office/drawing/2014/main" id="{F6728F04-73EB-42D6-8B9D-FD3E48A1C4EB}"/>
            </a:ext>
          </a:extLst>
        </xdr:cNvPr>
        <xdr:cNvSpPr txBox="1"/>
      </xdr:nvSpPr>
      <xdr:spPr>
        <a:xfrm>
          <a:off x="668655" y="6086475"/>
          <a:ext cx="1190624"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CF5C4A"/>
              </a:solidFill>
              <a:latin typeface="Abadi" panose="020F0502020204030204" pitchFamily="34" charset="0"/>
            </a:rPr>
            <a:t>Months</a:t>
          </a:r>
        </a:p>
      </xdr:txBody>
    </xdr:sp>
    <xdr:clientData/>
  </xdr:twoCellAnchor>
  <xdr:twoCellAnchor editAs="oneCell">
    <xdr:from>
      <xdr:col>0</xdr:col>
      <xdr:colOff>676275</xdr:colOff>
      <xdr:row>32</xdr:row>
      <xdr:rowOff>85726</xdr:rowOff>
    </xdr:from>
    <xdr:to>
      <xdr:col>3</xdr:col>
      <xdr:colOff>529589</xdr:colOff>
      <xdr:row>42</xdr:row>
      <xdr:rowOff>143827</xdr:rowOff>
    </xdr:to>
    <mc:AlternateContent xmlns:mc="http://schemas.openxmlformats.org/markup-compatibility/2006">
      <mc:Choice xmlns:a14="http://schemas.microsoft.com/office/drawing/2010/main" Requires="a14">
        <xdr:graphicFrame macro="">
          <xdr:nvGraphicFramePr>
            <xdr:cNvPr id="38" name="Month 1">
              <a:extLst>
                <a:ext uri="{FF2B5EF4-FFF2-40B4-BE49-F238E27FC236}">
                  <a16:creationId xmlns:a16="http://schemas.microsoft.com/office/drawing/2014/main" id="{C116EC61-0FFF-40C8-B592-FADDA190580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676275" y="6562726"/>
              <a:ext cx="1925002" cy="20821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11430</xdr:colOff>
      <xdr:row>19</xdr:row>
      <xdr:rowOff>66673</xdr:rowOff>
    </xdr:from>
    <xdr:to>
      <xdr:col>3</xdr:col>
      <xdr:colOff>528828</xdr:colOff>
      <xdr:row>27</xdr:row>
      <xdr:rowOff>41910</xdr:rowOff>
    </xdr:to>
    <mc:AlternateContent xmlns:mc="http://schemas.openxmlformats.org/markup-compatibility/2006">
      <mc:Choice xmlns:a14="http://schemas.microsoft.com/office/drawing/2010/main" Requires="a14">
        <xdr:graphicFrame macro="">
          <xdr:nvGraphicFramePr>
            <xdr:cNvPr id="39" name="Driver 1">
              <a:extLst>
                <a:ext uri="{FF2B5EF4-FFF2-40B4-BE49-F238E27FC236}">
                  <a16:creationId xmlns:a16="http://schemas.microsoft.com/office/drawing/2014/main" id="{003469A3-538B-43DF-AA7A-12577E81B361}"/>
                </a:ext>
              </a:extLst>
            </xdr:cNvPr>
            <xdr:cNvGraphicFramePr/>
          </xdr:nvGraphicFramePr>
          <xdr:xfrm>
            <a:off x="0" y="0"/>
            <a:ext cx="0" cy="0"/>
          </xdr:xfrm>
          <a:graphic>
            <a:graphicData uri="http://schemas.microsoft.com/office/drawing/2010/slicer">
              <sle:slicer xmlns:sle="http://schemas.microsoft.com/office/drawing/2010/slicer" name="Driver 1"/>
            </a:graphicData>
          </a:graphic>
        </xdr:graphicFrame>
      </mc:Choice>
      <mc:Fallback>
        <xdr:sp macro="" textlink="">
          <xdr:nvSpPr>
            <xdr:cNvPr id="0" name=""/>
            <xdr:cNvSpPr>
              <a:spLocks noTextEdit="1"/>
            </xdr:cNvSpPr>
          </xdr:nvSpPr>
          <xdr:spPr>
            <a:xfrm>
              <a:off x="1392555" y="3912392"/>
              <a:ext cx="1207961" cy="15944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123956</xdr:colOff>
      <xdr:row>20</xdr:row>
      <xdr:rowOff>171737</xdr:rowOff>
    </xdr:from>
    <xdr:to>
      <xdr:col>1</xdr:col>
      <xdr:colOff>672596</xdr:colOff>
      <xdr:row>23</xdr:row>
      <xdr:rowOff>123433</xdr:rowOff>
    </xdr:to>
    <xdr:sp macro="" textlink="">
      <xdr:nvSpPr>
        <xdr:cNvPr id="40" name="Flowchart: Connector 39">
          <a:extLst>
            <a:ext uri="{FF2B5EF4-FFF2-40B4-BE49-F238E27FC236}">
              <a16:creationId xmlns:a16="http://schemas.microsoft.com/office/drawing/2014/main" id="{2B12134D-A71D-48B0-99A2-BF9756CC2F5C}"/>
            </a:ext>
          </a:extLst>
        </xdr:cNvPr>
        <xdr:cNvSpPr/>
      </xdr:nvSpPr>
      <xdr:spPr>
        <a:xfrm>
          <a:off x="814519" y="4219862"/>
          <a:ext cx="548640" cy="558915"/>
        </a:xfrm>
        <a:prstGeom prst="flowChartConnector">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259035</xdr:colOff>
      <xdr:row>12</xdr:row>
      <xdr:rowOff>59871</xdr:rowOff>
    </xdr:from>
    <xdr:to>
      <xdr:col>3</xdr:col>
      <xdr:colOff>249510</xdr:colOff>
      <xdr:row>14</xdr:row>
      <xdr:rowOff>42155</xdr:rowOff>
    </xdr:to>
    <xdr:sp macro="" textlink="">
      <xdr:nvSpPr>
        <xdr:cNvPr id="98" name="Rectangle: Rounded Corners 97">
          <a:extLst>
            <a:ext uri="{FF2B5EF4-FFF2-40B4-BE49-F238E27FC236}">
              <a16:creationId xmlns:a16="http://schemas.microsoft.com/office/drawing/2014/main" id="{B3130C88-A153-41D4-8A3C-A0AB63C17B6B}"/>
            </a:ext>
          </a:extLst>
        </xdr:cNvPr>
        <xdr:cNvSpPr/>
      </xdr:nvSpPr>
      <xdr:spPr>
        <a:xfrm>
          <a:off x="944835" y="2460171"/>
          <a:ext cx="1362075" cy="382334"/>
        </a:xfrm>
        <a:prstGeom prst="roundRect">
          <a:avLst>
            <a:gd name="adj" fmla="val 22931"/>
          </a:avLst>
        </a:prstGeom>
        <a:solidFill>
          <a:schemeClr val="bg1">
            <a:lumMod val="85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lumMod val="85000"/>
              </a:schemeClr>
            </a:solidFill>
          </a:endParaRPr>
        </a:p>
      </xdr:txBody>
    </xdr:sp>
    <xdr:clientData/>
  </xdr:twoCellAnchor>
  <xdr:twoCellAnchor>
    <xdr:from>
      <xdr:col>1</xdr:col>
      <xdr:colOff>123043</xdr:colOff>
      <xdr:row>20</xdr:row>
      <xdr:rowOff>170826</xdr:rowOff>
    </xdr:from>
    <xdr:to>
      <xdr:col>1</xdr:col>
      <xdr:colOff>671683</xdr:colOff>
      <xdr:row>23</xdr:row>
      <xdr:rowOff>122522</xdr:rowOff>
    </xdr:to>
    <xdr:sp macro="" textlink="">
      <xdr:nvSpPr>
        <xdr:cNvPr id="41" name="Flowchart: Connector 40">
          <a:extLst>
            <a:ext uri="{FF2B5EF4-FFF2-40B4-BE49-F238E27FC236}">
              <a16:creationId xmlns:a16="http://schemas.microsoft.com/office/drawing/2014/main" id="{C548BE23-84EF-48C7-A643-9362ED642360}"/>
            </a:ext>
          </a:extLst>
        </xdr:cNvPr>
        <xdr:cNvSpPr/>
      </xdr:nvSpPr>
      <xdr:spPr>
        <a:xfrm>
          <a:off x="813606" y="4218951"/>
          <a:ext cx="548640" cy="558915"/>
        </a:xfrm>
        <a:prstGeom prst="flowChartConnector">
          <a:avLst/>
        </a:prstGeom>
        <a:blipFill dpi="0" rotWithShape="1">
          <a:blip xmlns:r="http://schemas.openxmlformats.org/officeDocument/2006/relationships" r:embed="rId8" cstate="print">
            <a:extLst>
              <a:ext uri="{28A0092B-C50C-407E-A947-70E740481C1C}">
                <a14:useLocalDpi xmlns:a14="http://schemas.microsoft.com/office/drawing/2010/main" val="0"/>
              </a:ext>
            </a:extLst>
          </a:blip>
          <a:srcRect/>
          <a:stretch>
            <a:fillRect/>
          </a:stretch>
        </a:blipFill>
        <a:ln>
          <a:solidFill>
            <a:srgbClr val="48515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139353</xdr:colOff>
      <xdr:row>23</xdr:row>
      <xdr:rowOff>141465</xdr:rowOff>
    </xdr:from>
    <xdr:to>
      <xdr:col>2</xdr:col>
      <xdr:colOff>2976</xdr:colOff>
      <xdr:row>26</xdr:row>
      <xdr:rowOff>93161</xdr:rowOff>
    </xdr:to>
    <xdr:sp macro="" textlink="">
      <xdr:nvSpPr>
        <xdr:cNvPr id="42" name="Flowchart: Connector 41">
          <a:extLst>
            <a:ext uri="{FF2B5EF4-FFF2-40B4-BE49-F238E27FC236}">
              <a16:creationId xmlns:a16="http://schemas.microsoft.com/office/drawing/2014/main" id="{ACE7D4AD-F433-43CB-A52A-5F6D21001AE4}"/>
            </a:ext>
          </a:extLst>
        </xdr:cNvPr>
        <xdr:cNvSpPr/>
      </xdr:nvSpPr>
      <xdr:spPr>
        <a:xfrm>
          <a:off x="829916" y="4796809"/>
          <a:ext cx="554185" cy="558915"/>
        </a:xfrm>
        <a:prstGeom prst="flowChartConnector">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135437</xdr:colOff>
      <xdr:row>23</xdr:row>
      <xdr:rowOff>140554</xdr:rowOff>
    </xdr:from>
    <xdr:to>
      <xdr:col>2</xdr:col>
      <xdr:colOff>2659</xdr:colOff>
      <xdr:row>26</xdr:row>
      <xdr:rowOff>92250</xdr:rowOff>
    </xdr:to>
    <xdr:sp macro="" textlink="">
      <xdr:nvSpPr>
        <xdr:cNvPr id="43" name="Flowchart: Connector 42">
          <a:extLst>
            <a:ext uri="{FF2B5EF4-FFF2-40B4-BE49-F238E27FC236}">
              <a16:creationId xmlns:a16="http://schemas.microsoft.com/office/drawing/2014/main" id="{5EEE32B8-820F-4155-A7BB-8A41EDD5C32F}"/>
            </a:ext>
          </a:extLst>
        </xdr:cNvPr>
        <xdr:cNvSpPr/>
      </xdr:nvSpPr>
      <xdr:spPr>
        <a:xfrm>
          <a:off x="826000" y="4795898"/>
          <a:ext cx="557784" cy="558915"/>
        </a:xfrm>
        <a:prstGeom prst="flowChartConnector">
          <a:avLst/>
        </a:prstGeom>
        <a:blipFill dpi="0" rotWithShape="1">
          <a:blip xmlns:r="http://schemas.openxmlformats.org/officeDocument/2006/relationships" r:embed="rId9" cstate="print">
            <a:extLst>
              <a:ext uri="{28A0092B-C50C-407E-A947-70E740481C1C}">
                <a14:useLocalDpi xmlns:a14="http://schemas.microsoft.com/office/drawing/2010/main" val="0"/>
              </a:ext>
            </a:extLst>
          </a:blip>
          <a:srcRect/>
          <a:stretch>
            <a:fillRect/>
          </a:stretch>
        </a:blip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107155</xdr:colOff>
      <xdr:row>11</xdr:row>
      <xdr:rowOff>173355</xdr:rowOff>
    </xdr:from>
    <xdr:to>
      <xdr:col>24</xdr:col>
      <xdr:colOff>107155</xdr:colOff>
      <xdr:row>40</xdr:row>
      <xdr:rowOff>107155</xdr:rowOff>
    </xdr:to>
    <xdr:sp macro="" textlink="">
      <xdr:nvSpPr>
        <xdr:cNvPr id="44" name="Rectangle: Rounded Corners 43">
          <a:extLst>
            <a:ext uri="{FF2B5EF4-FFF2-40B4-BE49-F238E27FC236}">
              <a16:creationId xmlns:a16="http://schemas.microsoft.com/office/drawing/2014/main" id="{94404283-F941-4A2D-A292-7838CC05F74F}"/>
            </a:ext>
          </a:extLst>
        </xdr:cNvPr>
        <xdr:cNvSpPr/>
      </xdr:nvSpPr>
      <xdr:spPr>
        <a:xfrm>
          <a:off x="13918405" y="2399824"/>
          <a:ext cx="2762250" cy="6208394"/>
        </a:xfrm>
        <a:prstGeom prst="roundRect">
          <a:avLst>
            <a:gd name="adj" fmla="val 4862"/>
          </a:avLst>
        </a:prstGeom>
        <a:solidFill>
          <a:srgbClr val="FAFA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lumMod val="85000"/>
              </a:schemeClr>
            </a:solidFill>
          </a:endParaRPr>
        </a:p>
      </xdr:txBody>
    </xdr:sp>
    <xdr:clientData/>
  </xdr:twoCellAnchor>
  <xdr:twoCellAnchor>
    <xdr:from>
      <xdr:col>9</xdr:col>
      <xdr:colOff>182880</xdr:colOff>
      <xdr:row>11</xdr:row>
      <xdr:rowOff>152400</xdr:rowOff>
    </xdr:from>
    <xdr:to>
      <xdr:col>12</xdr:col>
      <xdr:colOff>45720</xdr:colOff>
      <xdr:row>17</xdr:row>
      <xdr:rowOff>49530</xdr:rowOff>
    </xdr:to>
    <xdr:graphicFrame macro="">
      <xdr:nvGraphicFramePr>
        <xdr:cNvPr id="71" name="Chart 70">
          <a:extLst>
            <a:ext uri="{FF2B5EF4-FFF2-40B4-BE49-F238E27FC236}">
              <a16:creationId xmlns:a16="http://schemas.microsoft.com/office/drawing/2014/main" id="{8A57CD2E-2663-4BA7-BE8D-D9FF3C002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400050</xdr:colOff>
      <xdr:row>12</xdr:row>
      <xdr:rowOff>116962</xdr:rowOff>
    </xdr:from>
    <xdr:to>
      <xdr:col>3</xdr:col>
      <xdr:colOff>47626</xdr:colOff>
      <xdr:row>13</xdr:row>
      <xdr:rowOff>191256</xdr:rowOff>
    </xdr:to>
    <xdr:sp macro="" textlink="">
      <xdr:nvSpPr>
        <xdr:cNvPr id="13" name="TextBox 12">
          <a:extLst>
            <a:ext uri="{FF2B5EF4-FFF2-40B4-BE49-F238E27FC236}">
              <a16:creationId xmlns:a16="http://schemas.microsoft.com/office/drawing/2014/main" id="{4351E23B-1EBB-4A4A-82B4-7694F068642C}"/>
            </a:ext>
          </a:extLst>
        </xdr:cNvPr>
        <xdr:cNvSpPr txBox="1"/>
      </xdr:nvSpPr>
      <xdr:spPr>
        <a:xfrm>
          <a:off x="1085850" y="2517262"/>
          <a:ext cx="1019176"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rgbClr val="48515F"/>
              </a:solidFill>
              <a:latin typeface="Abadi" panose="020F0502020204030204" pitchFamily="34" charset="0"/>
            </a:rPr>
            <a:t>Schedule</a:t>
          </a:r>
          <a:endParaRPr lang="en-GB" sz="1200">
            <a:solidFill>
              <a:srgbClr val="48515F"/>
            </a:solidFill>
            <a:latin typeface="Abadi" panose="020F0502020204030204" pitchFamily="34" charset="0"/>
          </a:endParaRPr>
        </a:p>
      </xdr:txBody>
    </xdr:sp>
    <xdr:clientData/>
  </xdr:twoCellAnchor>
  <xdr:twoCellAnchor>
    <xdr:from>
      <xdr:col>20</xdr:col>
      <xdr:colOff>333375</xdr:colOff>
      <xdr:row>13</xdr:row>
      <xdr:rowOff>57150</xdr:rowOff>
    </xdr:from>
    <xdr:to>
      <xdr:col>23</xdr:col>
      <xdr:colOff>571500</xdr:colOff>
      <xdr:row>39</xdr:row>
      <xdr:rowOff>38100</xdr:rowOff>
    </xdr:to>
    <xdr:sp macro="" textlink="">
      <xdr:nvSpPr>
        <xdr:cNvPr id="109" name="TextBox 108">
          <a:extLst>
            <a:ext uri="{FF2B5EF4-FFF2-40B4-BE49-F238E27FC236}">
              <a16:creationId xmlns:a16="http://schemas.microsoft.com/office/drawing/2014/main" id="{B15E7D15-7B9E-65DE-D5D9-54014C049ADB}"/>
            </a:ext>
          </a:extLst>
        </xdr:cNvPr>
        <xdr:cNvSpPr txBox="1"/>
      </xdr:nvSpPr>
      <xdr:spPr>
        <a:xfrm>
          <a:off x="13849350" y="2657475"/>
          <a:ext cx="2295525" cy="518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 New Truck Driving Laws</a:t>
          </a:r>
        </a:p>
        <a:p>
          <a:endParaRPr lang="en-GB" b="1"/>
        </a:p>
        <a:p>
          <a:r>
            <a:rPr lang="en-GB"/>
            <a:t>🔶 </a:t>
          </a:r>
          <a:r>
            <a:rPr lang="en-GB" b="1"/>
            <a:t>Flexible 30-Minute Break</a:t>
          </a:r>
          <a:endParaRPr lang="en-GB"/>
        </a:p>
        <a:p>
          <a:r>
            <a:rPr lang="en-GB"/>
            <a:t>- Break is no longer strictly after 8 continuous driving hours</a:t>
          </a:r>
        </a:p>
        <a:p>
          <a:r>
            <a:rPr lang="en-GB"/>
            <a:t>- Drivers may take the break while on-duty (not driving)</a:t>
          </a:r>
        </a:p>
        <a:p>
          <a:r>
            <a:rPr lang="en-GB"/>
            <a:t>- Provides more scheduling flexibility during trips</a:t>
          </a:r>
        </a:p>
        <a:p>
          <a:endParaRPr lang="en-GB"/>
        </a:p>
        <a:p>
          <a:r>
            <a:rPr lang="en-GB"/>
            <a:t>🔶 </a:t>
          </a:r>
          <a:r>
            <a:rPr lang="en-GB" b="1"/>
            <a:t>Mandatory Off-Duty Break</a:t>
          </a:r>
          <a:endParaRPr lang="en-GB"/>
        </a:p>
        <a:p>
          <a:r>
            <a:rPr lang="en-GB"/>
            <a:t>-At least </a:t>
          </a:r>
          <a:r>
            <a:rPr lang="en-GB" b="1"/>
            <a:t>one 30-minute off-duty break</a:t>
          </a:r>
          <a:r>
            <a:rPr lang="en-GB"/>
            <a:t> is still required</a:t>
          </a:r>
        </a:p>
        <a:p>
          <a:r>
            <a:rPr lang="en-GB"/>
            <a:t>-Must not interrupt the </a:t>
          </a:r>
          <a:r>
            <a:rPr lang="en-GB" b="1"/>
            <a:t>14-hour driving window</a:t>
          </a:r>
          <a:endParaRPr lang="en-GB"/>
        </a:p>
        <a:p>
          <a:r>
            <a:rPr lang="en-GB"/>
            <a:t>-Drivers must still complete </a:t>
          </a:r>
          <a:r>
            <a:rPr lang="en-GB" b="1"/>
            <a:t>10 consecutive off-duty hours</a:t>
          </a:r>
          <a:r>
            <a:rPr lang="en-GB"/>
            <a:t> daily</a:t>
          </a:r>
        </a:p>
        <a:p>
          <a:endParaRPr lang="en-GB"/>
        </a:p>
        <a:p>
          <a:r>
            <a:rPr lang="en-GB"/>
            <a:t>🔶 </a:t>
          </a:r>
          <a:r>
            <a:rPr lang="en-GB" b="1"/>
            <a:t>Adverse Driving Condition Rule</a:t>
          </a:r>
          <a:endParaRPr lang="en-GB"/>
        </a:p>
        <a:p>
          <a:r>
            <a:rPr lang="en-GB"/>
            <a:t>-Driving limit may be extended by </a:t>
          </a:r>
          <a:r>
            <a:rPr lang="en-GB" b="1"/>
            <a:t>up to 2 extra hours</a:t>
          </a:r>
          <a:endParaRPr lang="en-GB"/>
        </a:p>
        <a:p>
          <a:r>
            <a:rPr lang="en-GB"/>
            <a:t>-Applies during severe weather or unexpected road conditions</a:t>
          </a:r>
        </a:p>
        <a:p>
          <a:endParaRPr lang="en-GB"/>
        </a:p>
        <a:p>
          <a:r>
            <a:rPr lang="en-GB"/>
            <a:t>🔶 </a:t>
          </a:r>
          <a:r>
            <a:rPr lang="en-GB" b="1"/>
            <a:t>Flexible Off-Duty Periods</a:t>
          </a:r>
          <a:endParaRPr lang="en-GB"/>
        </a:p>
        <a:p>
          <a:r>
            <a:rPr lang="en-GB"/>
            <a:t>-Off-duty time can now be </a:t>
          </a:r>
          <a:r>
            <a:rPr lang="en-GB" b="1"/>
            <a:t>split into multiple periods</a:t>
          </a:r>
          <a:endParaRPr lang="en-GB"/>
        </a:p>
        <a:p>
          <a:r>
            <a:rPr lang="en-GB"/>
            <a:t>-Each rest period must be </a:t>
          </a:r>
          <a:r>
            <a:rPr lang="en-GB" b="1"/>
            <a:t>at least 3 hours</a:t>
          </a:r>
          <a:endParaRPr lang="en-GB"/>
        </a:p>
        <a:p>
          <a:r>
            <a:rPr lang="en-GB"/>
            <a:t>-Improves fatigue management and trip planning</a:t>
          </a: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73</xdr:col>
      <xdr:colOff>1155247</xdr:colOff>
      <xdr:row>14</xdr:row>
      <xdr:rowOff>213632</xdr:rowOff>
    </xdr:from>
    <xdr:to>
      <xdr:col>74</xdr:col>
      <xdr:colOff>796832</xdr:colOff>
      <xdr:row>25</xdr:row>
      <xdr:rowOff>186417</xdr:rowOff>
    </xdr:to>
    <mc:AlternateContent xmlns:mc="http://schemas.openxmlformats.org/markup-compatibility/2006">
      <mc:Choice xmlns:a14="http://schemas.microsoft.com/office/drawing/2010/main" Requires="a14">
        <xdr:graphicFrame macro="">
          <xdr:nvGraphicFramePr>
            <xdr:cNvPr id="5" name="Month 2">
              <a:extLst>
                <a:ext uri="{FF2B5EF4-FFF2-40B4-BE49-F238E27FC236}">
                  <a16:creationId xmlns:a16="http://schemas.microsoft.com/office/drawing/2014/main" id="{33296494-9A6A-EE8C-D4FC-4099EBF4FA98}"/>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95779318" y="3669846"/>
              <a:ext cx="1845943"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72</xdr:col>
      <xdr:colOff>1318532</xdr:colOff>
      <xdr:row>14</xdr:row>
      <xdr:rowOff>227239</xdr:rowOff>
    </xdr:from>
    <xdr:to>
      <xdr:col>73</xdr:col>
      <xdr:colOff>684442</xdr:colOff>
      <xdr:row>25</xdr:row>
      <xdr:rowOff>194309</xdr:rowOff>
    </xdr:to>
    <mc:AlternateContent xmlns:mc="http://schemas.openxmlformats.org/markup-compatibility/2006">
      <mc:Choice xmlns:a14="http://schemas.microsoft.com/office/drawing/2010/main" Requires="a14">
        <xdr:graphicFrame macro="">
          <xdr:nvGraphicFramePr>
            <xdr:cNvPr id="6" name="Driver 2">
              <a:extLst>
                <a:ext uri="{FF2B5EF4-FFF2-40B4-BE49-F238E27FC236}">
                  <a16:creationId xmlns:a16="http://schemas.microsoft.com/office/drawing/2014/main" id="{E58BC2B2-96DD-56C6-13FA-018D2C73F7D5}"/>
                </a:ext>
              </a:extLst>
            </xdr:cNvPr>
            <xdr:cNvGraphicFramePr/>
          </xdr:nvGraphicFramePr>
          <xdr:xfrm>
            <a:off x="0" y="0"/>
            <a:ext cx="0" cy="0"/>
          </xdr:xfrm>
          <a:graphic>
            <a:graphicData uri="http://schemas.microsoft.com/office/drawing/2010/slicer">
              <sle:slicer xmlns:sle="http://schemas.microsoft.com/office/drawing/2010/slicer" name="Driver 2"/>
            </a:graphicData>
          </a:graphic>
        </xdr:graphicFrame>
      </mc:Choice>
      <mc:Fallback>
        <xdr:sp macro="" textlink="">
          <xdr:nvSpPr>
            <xdr:cNvPr id="0" name=""/>
            <xdr:cNvSpPr>
              <a:spLocks noTextEdit="1"/>
            </xdr:cNvSpPr>
          </xdr:nvSpPr>
          <xdr:spPr>
            <a:xfrm>
              <a:off x="93479711" y="3683453"/>
              <a:ext cx="1828802" cy="26612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m. Altear" refreshedDate="46095.585482754628" createdVersion="8" refreshedVersion="8" minRefreshableVersion="3" recordCount="24" xr:uid="{B71BAB1C-59B0-4ED8-9ABE-14F04347316A}">
  <cacheSource type="worksheet">
    <worksheetSource name="Main_Table"/>
  </cacheSource>
  <cacheFields count="27">
    <cacheField name="N" numFmtId="1">
      <sharedItems containsSemiMixedTypes="0" containsString="0" containsNumber="1" containsInteger="1" minValue="1" maxValue="24" count="24">
        <n v="1"/>
        <n v="2"/>
        <n v="3"/>
        <n v="4"/>
        <n v="5"/>
        <n v="6"/>
        <n v="7"/>
        <n v="8"/>
        <n v="9"/>
        <n v="10"/>
        <n v="11"/>
        <n v="12"/>
        <n v="13"/>
        <n v="14"/>
        <n v="15"/>
        <n v="16"/>
        <n v="17"/>
        <n v="18"/>
        <n v="19"/>
        <n v="20"/>
        <n v="21"/>
        <n v="22"/>
        <n v="23"/>
        <n v="24"/>
      </sharedItems>
    </cacheField>
    <cacheField name="Date" numFmtId="164">
      <sharedItems containsSemiMixedTypes="0" containsNonDate="0" containsDate="1" containsString="0" minDate="2022-01-01T00:00:00" maxDate="2022-12-02T00:00:00" count="12">
        <d v="2022-01-01T00:00:00"/>
        <d v="2022-02-01T00:00:00"/>
        <d v="2022-03-01T00:00:00"/>
        <d v="2022-04-01T00:00:00"/>
        <d v="2022-05-01T00:00:00"/>
        <d v="2022-06-01T00:00:00"/>
        <d v="2022-07-01T00:00:00"/>
        <d v="2022-08-01T00:00:00"/>
        <d v="2022-09-01T00:00:00"/>
        <d v="2022-10-01T00:00:00"/>
        <d v="2022-11-01T00:00:00"/>
        <d v="2022-12-01T00:00:00"/>
      </sharedItems>
      <fieldGroup par="26"/>
    </cacheField>
    <cacheField name="Year" numFmtId="0">
      <sharedItems containsSemiMixedTypes="0" containsString="0" containsNumber="1" containsInteger="1" minValue="2022" maxValue="2022"/>
    </cacheField>
    <cacheField name="Month" numFmtId="165">
      <sharedItems count="12">
        <s v="Jan"/>
        <s v="Feb"/>
        <s v="Mar"/>
        <s v="Apr"/>
        <s v="May"/>
        <s v="Jun"/>
        <s v="Jul"/>
        <s v="Aug"/>
        <s v="Sep"/>
        <s v="Oct"/>
        <s v="Nov"/>
        <s v="Dec"/>
      </sharedItems>
    </cacheField>
    <cacheField name="Day" numFmtId="0">
      <sharedItems containsSemiMixedTypes="0" containsString="0" containsNumber="1" containsInteger="1" minValue="1" maxValue="1"/>
    </cacheField>
    <cacheField name="Driver" numFmtId="0">
      <sharedItems count="2">
        <s v="Antoni"/>
        <s v="Jaison"/>
      </sharedItems>
    </cacheField>
    <cacheField name="Buddy" numFmtId="0">
      <sharedItems count="2">
        <s v="Mike"/>
        <s v="Lee"/>
      </sharedItems>
    </cacheField>
    <cacheField name="Vehicle" numFmtId="0">
      <sharedItems count="2">
        <s v="72-0466/0467"/>
        <s v="72-1001/1002"/>
      </sharedItems>
    </cacheField>
    <cacheField name="Distance (km)" numFmtId="0">
      <sharedItems containsSemiMixedTypes="0" containsString="0" containsNumber="1" containsInteger="1" minValue="15" maxValue="80"/>
    </cacheField>
    <cacheField name="Trip Classify" numFmtId="0">
      <sharedItems count="3">
        <s v="Close"/>
        <s v="Far"/>
        <s v="Regular"/>
      </sharedItems>
    </cacheField>
    <cacheField name="Distance Traveled" numFmtId="166">
      <sharedItems count="2">
        <s v="Return"/>
        <s v="One-Way"/>
      </sharedItems>
    </cacheField>
    <cacheField name="From" numFmtId="0">
      <sharedItems count="9">
        <s v="Xunthai"/>
        <s v="Port Said"/>
        <s v="Gidec"/>
        <s v="Safeskin"/>
        <s v="Top glove"/>
        <s v="Alex"/>
        <s v="Giza"/>
        <s v="Air Port"/>
        <s v="PT"/>
      </sharedItems>
    </cacheField>
    <cacheField name="To" numFmtId="0">
      <sharedItems count="6">
        <s v="Gidec"/>
        <s v="Safeskin"/>
        <s v="Suies"/>
        <s v="X1 Port"/>
        <s v="Top glove"/>
        <s v="Mina"/>
      </sharedItems>
    </cacheField>
    <cacheField name="Goods" numFmtId="0">
      <sharedItems count="2">
        <s v="Woodchip"/>
        <s v="Woodpellet"/>
      </sharedItems>
    </cacheField>
    <cacheField name="Driver wage/trip" numFmtId="169">
      <sharedItems containsSemiMixedTypes="0" containsString="0" containsNumber="1" containsInteger="1" minValue="400" maxValue="800" count="3">
        <n v="400"/>
        <n v="600"/>
        <n v="800"/>
      </sharedItems>
    </cacheField>
    <cacheField name="Buddy wage/trip" numFmtId="168">
      <sharedItems containsSemiMixedTypes="0" containsString="0" containsNumber="1" containsInteger="1" minValue="100" maxValue="400"/>
    </cacheField>
    <cacheField name="Driver Salary" numFmtId="168">
      <sharedItems containsString="0" containsBlank="1" containsNumber="1" containsInteger="1" minValue="400" maxValue="800"/>
    </cacheField>
    <cacheField name="Buddy Salary" numFmtId="168">
      <sharedItems containsString="0" containsBlank="1" containsNumber="1" containsInteger="1" minValue="100" maxValue="400"/>
    </cacheField>
    <cacheField name="Weight (Tons)" numFmtId="1">
      <sharedItems containsSemiMixedTypes="0" containsString="0" containsNumber="1" containsInteger="1" minValue="9" maxValue="18"/>
    </cacheField>
    <cacheField name="Hired Transportation" numFmtId="166">
      <sharedItems count="2">
        <s v="No"/>
        <s v="Yes"/>
      </sharedItems>
    </cacheField>
    <cacheField name="Total Expenses" numFmtId="0" formula="'Driver wage/trip'+'Buddy wage/trip'+'Driver Salary'+'Buddy Salary'" databaseField="0"/>
    <cacheField name="Total Salaries" numFmtId="0" formula="'Driver Salary'+'Buddy Salary'" databaseField="0"/>
    <cacheField name="Total Wages" numFmtId="0" formula="'Driver wage/trip'+'Buddy wage/trip'" databaseField="0"/>
    <cacheField name="Expenses" numFmtId="0" formula="'Driver Salary'+'Buddy Salary'" databaseField="0"/>
    <cacheField name="Field1" numFmtId="0" formula="'Driver wage/trip'+'Buddy wage/trip'+'Driver Salary'+'Buddy Salary'" databaseField="0"/>
    <cacheField name="Days (Date)" numFmtId="0" databaseField="0">
      <fieldGroup base="1">
        <rangePr groupBy="days" startDate="2022-01-01T00:00:00" endDate="2022-12-02T00:00:00"/>
        <groupItems count="368">
          <s v="&lt;01-01-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2"/>
        </groupItems>
      </fieldGroup>
    </cacheField>
    <cacheField name="Months (Date)" numFmtId="0" databaseField="0">
      <fieldGroup base="1">
        <rangePr groupBy="months" startDate="2022-01-01T00:00:00" endDate="2022-12-02T00:00:00"/>
        <groupItems count="14">
          <s v="&lt;01-01-22"/>
          <s v="Jan"/>
          <s v="Feb"/>
          <s v="Mar"/>
          <s v="Apr"/>
          <s v="May"/>
          <s v="Jun"/>
          <s v="Jul"/>
          <s v="Aug"/>
          <s v="Sep"/>
          <s v="Oct"/>
          <s v="Nov"/>
          <s v="Dec"/>
          <s v="&gt;02-12-22"/>
        </groupItems>
      </fieldGroup>
    </cacheField>
  </cacheFields>
  <extLst>
    <ext xmlns:x14="http://schemas.microsoft.com/office/spreadsheetml/2009/9/main" uri="{725AE2AE-9491-48be-B2B4-4EB974FC3084}">
      <x14:pivotCacheDefinition pivotCacheId="286998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2022"/>
    <x v="0"/>
    <n v="1"/>
    <x v="0"/>
    <x v="0"/>
    <x v="0"/>
    <n v="25"/>
    <x v="0"/>
    <x v="0"/>
    <x v="0"/>
    <x v="0"/>
    <x v="0"/>
    <x v="0"/>
    <n v="400"/>
    <n v="400"/>
    <n v="400"/>
    <n v="14"/>
    <x v="0"/>
  </r>
  <r>
    <x v="1"/>
    <x v="1"/>
    <n v="2022"/>
    <x v="1"/>
    <n v="1"/>
    <x v="1"/>
    <x v="0"/>
    <x v="1"/>
    <n v="15"/>
    <x v="0"/>
    <x v="0"/>
    <x v="1"/>
    <x v="1"/>
    <x v="1"/>
    <x v="0"/>
    <n v="100"/>
    <n v="400"/>
    <n v="100"/>
    <n v="11"/>
    <x v="0"/>
  </r>
  <r>
    <x v="2"/>
    <x v="2"/>
    <n v="2022"/>
    <x v="2"/>
    <n v="1"/>
    <x v="0"/>
    <x v="0"/>
    <x v="0"/>
    <n v="65"/>
    <x v="1"/>
    <x v="0"/>
    <x v="2"/>
    <x v="2"/>
    <x v="0"/>
    <x v="1"/>
    <n v="100"/>
    <n v="600"/>
    <n v="100"/>
    <n v="15"/>
    <x v="0"/>
  </r>
  <r>
    <x v="3"/>
    <x v="3"/>
    <n v="2022"/>
    <x v="3"/>
    <n v="1"/>
    <x v="1"/>
    <x v="0"/>
    <x v="1"/>
    <n v="44"/>
    <x v="2"/>
    <x v="1"/>
    <x v="3"/>
    <x v="3"/>
    <x v="1"/>
    <x v="0"/>
    <n v="100"/>
    <n v="400"/>
    <n v="100"/>
    <n v="13"/>
    <x v="0"/>
  </r>
  <r>
    <x v="4"/>
    <x v="4"/>
    <n v="2022"/>
    <x v="4"/>
    <n v="1"/>
    <x v="0"/>
    <x v="1"/>
    <x v="0"/>
    <n v="65"/>
    <x v="1"/>
    <x v="1"/>
    <x v="4"/>
    <x v="3"/>
    <x v="0"/>
    <x v="1"/>
    <n v="100"/>
    <n v="600"/>
    <n v="100"/>
    <n v="12"/>
    <x v="0"/>
  </r>
  <r>
    <x v="5"/>
    <x v="5"/>
    <n v="2022"/>
    <x v="5"/>
    <n v="1"/>
    <x v="1"/>
    <x v="0"/>
    <x v="1"/>
    <n v="80"/>
    <x v="1"/>
    <x v="1"/>
    <x v="5"/>
    <x v="4"/>
    <x v="1"/>
    <x v="2"/>
    <n v="100"/>
    <n v="800"/>
    <n v="100"/>
    <n v="11"/>
    <x v="0"/>
  </r>
  <r>
    <x v="6"/>
    <x v="6"/>
    <n v="2022"/>
    <x v="6"/>
    <n v="1"/>
    <x v="0"/>
    <x v="1"/>
    <x v="0"/>
    <n v="25"/>
    <x v="0"/>
    <x v="1"/>
    <x v="6"/>
    <x v="3"/>
    <x v="0"/>
    <x v="0"/>
    <n v="150"/>
    <n v="400"/>
    <n v="150"/>
    <n v="18"/>
    <x v="0"/>
  </r>
  <r>
    <x v="7"/>
    <x v="7"/>
    <n v="2022"/>
    <x v="7"/>
    <n v="1"/>
    <x v="1"/>
    <x v="1"/>
    <x v="1"/>
    <n v="25"/>
    <x v="0"/>
    <x v="0"/>
    <x v="2"/>
    <x v="1"/>
    <x v="1"/>
    <x v="0"/>
    <n v="100"/>
    <n v="400"/>
    <n v="100"/>
    <n v="13"/>
    <x v="1"/>
  </r>
  <r>
    <x v="8"/>
    <x v="8"/>
    <n v="2022"/>
    <x v="8"/>
    <n v="1"/>
    <x v="0"/>
    <x v="1"/>
    <x v="0"/>
    <n v="25"/>
    <x v="0"/>
    <x v="1"/>
    <x v="3"/>
    <x v="5"/>
    <x v="0"/>
    <x v="0"/>
    <n v="100"/>
    <n v="400"/>
    <n v="100"/>
    <n v="15"/>
    <x v="1"/>
  </r>
  <r>
    <x v="9"/>
    <x v="9"/>
    <n v="2022"/>
    <x v="9"/>
    <n v="1"/>
    <x v="1"/>
    <x v="0"/>
    <x v="1"/>
    <n v="25"/>
    <x v="0"/>
    <x v="1"/>
    <x v="7"/>
    <x v="3"/>
    <x v="1"/>
    <x v="0"/>
    <n v="200"/>
    <n v="400"/>
    <n v="200"/>
    <n v="14"/>
    <x v="0"/>
  </r>
  <r>
    <x v="10"/>
    <x v="10"/>
    <n v="2022"/>
    <x v="10"/>
    <n v="1"/>
    <x v="0"/>
    <x v="0"/>
    <x v="0"/>
    <n v="25"/>
    <x v="0"/>
    <x v="1"/>
    <x v="0"/>
    <x v="0"/>
    <x v="0"/>
    <x v="0"/>
    <n v="400"/>
    <n v="400"/>
    <n v="400"/>
    <n v="12"/>
    <x v="0"/>
  </r>
  <r>
    <x v="11"/>
    <x v="11"/>
    <n v="2022"/>
    <x v="11"/>
    <n v="1"/>
    <x v="1"/>
    <x v="0"/>
    <x v="1"/>
    <n v="15"/>
    <x v="0"/>
    <x v="1"/>
    <x v="8"/>
    <x v="1"/>
    <x v="1"/>
    <x v="0"/>
    <n v="100"/>
    <n v="400"/>
    <n v="100"/>
    <n v="9"/>
    <x v="0"/>
  </r>
  <r>
    <x v="12"/>
    <x v="0"/>
    <n v="2022"/>
    <x v="0"/>
    <n v="1"/>
    <x v="0"/>
    <x v="0"/>
    <x v="0"/>
    <n v="25"/>
    <x v="0"/>
    <x v="0"/>
    <x v="0"/>
    <x v="0"/>
    <x v="0"/>
    <x v="0"/>
    <n v="400"/>
    <n v="400"/>
    <n v="400"/>
    <n v="14"/>
    <x v="0"/>
  </r>
  <r>
    <x v="13"/>
    <x v="1"/>
    <n v="2022"/>
    <x v="1"/>
    <n v="1"/>
    <x v="1"/>
    <x v="0"/>
    <x v="1"/>
    <n v="15"/>
    <x v="0"/>
    <x v="0"/>
    <x v="1"/>
    <x v="1"/>
    <x v="1"/>
    <x v="0"/>
    <n v="100"/>
    <n v="400"/>
    <n v="100"/>
    <n v="11"/>
    <x v="1"/>
  </r>
  <r>
    <x v="14"/>
    <x v="2"/>
    <n v="2022"/>
    <x v="2"/>
    <n v="1"/>
    <x v="0"/>
    <x v="0"/>
    <x v="0"/>
    <n v="65"/>
    <x v="1"/>
    <x v="0"/>
    <x v="2"/>
    <x v="2"/>
    <x v="0"/>
    <x v="1"/>
    <n v="100"/>
    <n v="600"/>
    <n v="100"/>
    <n v="15"/>
    <x v="0"/>
  </r>
  <r>
    <x v="15"/>
    <x v="2"/>
    <n v="2022"/>
    <x v="2"/>
    <n v="1"/>
    <x v="1"/>
    <x v="0"/>
    <x v="1"/>
    <n v="44"/>
    <x v="2"/>
    <x v="1"/>
    <x v="3"/>
    <x v="3"/>
    <x v="1"/>
    <x v="0"/>
    <n v="100"/>
    <m/>
    <m/>
    <n v="13"/>
    <x v="0"/>
  </r>
  <r>
    <x v="16"/>
    <x v="2"/>
    <n v="2022"/>
    <x v="2"/>
    <n v="1"/>
    <x v="0"/>
    <x v="1"/>
    <x v="0"/>
    <n v="65"/>
    <x v="1"/>
    <x v="1"/>
    <x v="4"/>
    <x v="3"/>
    <x v="0"/>
    <x v="1"/>
    <n v="100"/>
    <m/>
    <m/>
    <n v="12"/>
    <x v="0"/>
  </r>
  <r>
    <x v="17"/>
    <x v="5"/>
    <n v="2022"/>
    <x v="5"/>
    <n v="1"/>
    <x v="1"/>
    <x v="1"/>
    <x v="1"/>
    <n v="80"/>
    <x v="1"/>
    <x v="1"/>
    <x v="5"/>
    <x v="4"/>
    <x v="1"/>
    <x v="2"/>
    <n v="100"/>
    <n v="800"/>
    <n v="100"/>
    <n v="11"/>
    <x v="0"/>
  </r>
  <r>
    <x v="18"/>
    <x v="6"/>
    <n v="2022"/>
    <x v="6"/>
    <n v="1"/>
    <x v="0"/>
    <x v="1"/>
    <x v="0"/>
    <n v="25"/>
    <x v="0"/>
    <x v="1"/>
    <x v="6"/>
    <x v="3"/>
    <x v="0"/>
    <x v="0"/>
    <n v="150"/>
    <n v="400"/>
    <n v="150"/>
    <n v="18"/>
    <x v="0"/>
  </r>
  <r>
    <x v="19"/>
    <x v="7"/>
    <n v="2022"/>
    <x v="7"/>
    <n v="1"/>
    <x v="1"/>
    <x v="1"/>
    <x v="1"/>
    <n v="25"/>
    <x v="0"/>
    <x v="0"/>
    <x v="2"/>
    <x v="1"/>
    <x v="1"/>
    <x v="0"/>
    <n v="100"/>
    <n v="400"/>
    <n v="100"/>
    <n v="13"/>
    <x v="1"/>
  </r>
  <r>
    <x v="20"/>
    <x v="7"/>
    <n v="2022"/>
    <x v="7"/>
    <n v="1"/>
    <x v="0"/>
    <x v="1"/>
    <x v="0"/>
    <n v="25"/>
    <x v="0"/>
    <x v="1"/>
    <x v="3"/>
    <x v="5"/>
    <x v="0"/>
    <x v="0"/>
    <n v="100"/>
    <m/>
    <m/>
    <n v="15"/>
    <x v="1"/>
  </r>
  <r>
    <x v="21"/>
    <x v="9"/>
    <n v="2022"/>
    <x v="9"/>
    <n v="1"/>
    <x v="1"/>
    <x v="0"/>
    <x v="1"/>
    <n v="25"/>
    <x v="0"/>
    <x v="1"/>
    <x v="7"/>
    <x v="3"/>
    <x v="1"/>
    <x v="0"/>
    <n v="200"/>
    <n v="400"/>
    <n v="200"/>
    <n v="14"/>
    <x v="0"/>
  </r>
  <r>
    <x v="22"/>
    <x v="9"/>
    <n v="2022"/>
    <x v="9"/>
    <n v="1"/>
    <x v="0"/>
    <x v="0"/>
    <x v="0"/>
    <n v="25"/>
    <x v="0"/>
    <x v="1"/>
    <x v="0"/>
    <x v="0"/>
    <x v="0"/>
    <x v="0"/>
    <n v="400"/>
    <m/>
    <m/>
    <n v="12"/>
    <x v="0"/>
  </r>
  <r>
    <x v="23"/>
    <x v="9"/>
    <n v="2022"/>
    <x v="9"/>
    <n v="1"/>
    <x v="1"/>
    <x v="0"/>
    <x v="1"/>
    <n v="15"/>
    <x v="0"/>
    <x v="1"/>
    <x v="8"/>
    <x v="1"/>
    <x v="1"/>
    <x v="0"/>
    <n v="100"/>
    <m/>
    <m/>
    <n v="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0B1992-78EB-49A6-8E6D-6293B2DFEEE1}" name="PivotTable13" cacheId="10" applyNumberFormats="0" applyBorderFormats="0" applyFontFormats="0" applyPatternFormats="0" applyAlignmentFormats="0" applyWidthHeightFormats="1" dataCaption="Values" updatedVersion="8" minRefreshableVersion="3" showDrill="0" useAutoFormatting="1" rowGrandTotals="0" itemPrintTitles="1" createdVersion="8" indent="0" showHeaders="0" compact="0" compactData="0" multipleFieldFilters="0" chartFormat="68">
  <location ref="I18:O41" firstHeaderRow="0" firstDataRow="0" firstDataCol="7"/>
  <pivotFields count="27">
    <pivotField axis="axisRow" compact="0" numFmtId="1" outline="0" showAll="0" defaultSubtotal="0">
      <items count="24">
        <item x="0"/>
        <item x="1"/>
        <item x="2"/>
        <item x="3"/>
        <item x="4"/>
        <item x="5"/>
        <item x="6"/>
        <item x="7"/>
        <item x="8"/>
        <item x="9"/>
        <item x="10"/>
        <item x="11"/>
        <item x="12"/>
        <item x="13"/>
        <item x="14"/>
        <item x="15"/>
        <item x="16"/>
        <item x="17"/>
        <item x="18"/>
        <item x="19"/>
        <item x="20"/>
        <item x="21"/>
        <item x="22"/>
        <item x="23"/>
      </items>
      <extLst>
        <ext xmlns:x14="http://schemas.microsoft.com/office/spreadsheetml/2009/9/main" uri="{2946ED86-A175-432a-8AC1-64E0C546D7DE}">
          <x14:pivotField fillDownLabels="1"/>
        </ext>
      </extLst>
    </pivotField>
    <pivotField axis="axisRow" compact="0" numFmtId="164" outline="0"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defaultSubtotal="0">
      <items count="9">
        <item x="7"/>
        <item x="5"/>
        <item x="2"/>
        <item x="6"/>
        <item x="1"/>
        <item x="8"/>
        <item x="3"/>
        <item x="4"/>
        <item x="0"/>
      </items>
      <extLst>
        <ext xmlns:x14="http://schemas.microsoft.com/office/spreadsheetml/2009/9/main" uri="{2946ED86-A175-432a-8AC1-64E0C546D7DE}">
          <x14:pivotField fillDownLabels="1"/>
        </ext>
      </extLst>
    </pivotField>
    <pivotField axis="axisRow" compact="0" outline="0" showAll="0" defaultSubtotal="0">
      <items count="6">
        <item x="0"/>
        <item x="5"/>
        <item x="1"/>
        <item x="2"/>
        <item x="4"/>
        <item x="3"/>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7">
    <field x="0"/>
    <field x="1"/>
    <field x="5"/>
    <field x="7"/>
    <field x="11"/>
    <field x="12"/>
    <field x="13"/>
  </rowFields>
  <rowItems count="24">
    <i>
      <x/>
      <x/>
      <x/>
      <x/>
      <x v="8"/>
      <x/>
      <x/>
    </i>
    <i>
      <x v="1"/>
      <x v="1"/>
      <x v="1"/>
      <x v="1"/>
      <x v="4"/>
      <x v="2"/>
      <x v="1"/>
    </i>
    <i>
      <x v="2"/>
      <x v="2"/>
      <x/>
      <x/>
      <x v="2"/>
      <x v="3"/>
      <x/>
    </i>
    <i>
      <x v="3"/>
      <x v="3"/>
      <x v="1"/>
      <x v="1"/>
      <x v="6"/>
      <x v="5"/>
      <x v="1"/>
    </i>
    <i>
      <x v="4"/>
      <x v="4"/>
      <x/>
      <x/>
      <x v="7"/>
      <x v="5"/>
      <x/>
    </i>
    <i>
      <x v="5"/>
      <x v="5"/>
      <x v="1"/>
      <x v="1"/>
      <x v="1"/>
      <x v="4"/>
      <x v="1"/>
    </i>
    <i>
      <x v="6"/>
      <x v="6"/>
      <x/>
      <x/>
      <x v="3"/>
      <x v="5"/>
      <x/>
    </i>
    <i>
      <x v="7"/>
      <x v="7"/>
      <x v="1"/>
      <x v="1"/>
      <x v="2"/>
      <x v="2"/>
      <x v="1"/>
    </i>
    <i>
      <x v="8"/>
      <x v="8"/>
      <x/>
      <x/>
      <x v="6"/>
      <x v="1"/>
      <x/>
    </i>
    <i>
      <x v="9"/>
      <x v="9"/>
      <x v="1"/>
      <x v="1"/>
      <x/>
      <x v="5"/>
      <x v="1"/>
    </i>
    <i>
      <x v="10"/>
      <x v="10"/>
      <x/>
      <x/>
      <x v="8"/>
      <x/>
      <x/>
    </i>
    <i>
      <x v="11"/>
      <x v="11"/>
      <x v="1"/>
      <x v="1"/>
      <x v="5"/>
      <x v="2"/>
      <x v="1"/>
    </i>
    <i>
      <x v="12"/>
      <x/>
      <x/>
      <x/>
      <x v="8"/>
      <x/>
      <x/>
    </i>
    <i>
      <x v="13"/>
      <x v="1"/>
      <x v="1"/>
      <x v="1"/>
      <x v="4"/>
      <x v="2"/>
      <x v="1"/>
    </i>
    <i>
      <x v="14"/>
      <x v="2"/>
      <x/>
      <x/>
      <x v="2"/>
      <x v="3"/>
      <x/>
    </i>
    <i>
      <x v="15"/>
      <x v="2"/>
      <x v="1"/>
      <x v="1"/>
      <x v="6"/>
      <x v="5"/>
      <x v="1"/>
    </i>
    <i>
      <x v="16"/>
      <x v="2"/>
      <x/>
      <x/>
      <x v="7"/>
      <x v="5"/>
      <x/>
    </i>
    <i>
      <x v="17"/>
      <x v="5"/>
      <x v="1"/>
      <x v="1"/>
      <x v="1"/>
      <x v="4"/>
      <x v="1"/>
    </i>
    <i>
      <x v="18"/>
      <x v="6"/>
      <x/>
      <x/>
      <x v="3"/>
      <x v="5"/>
      <x/>
    </i>
    <i>
      <x v="19"/>
      <x v="7"/>
      <x v="1"/>
      <x v="1"/>
      <x v="2"/>
      <x v="2"/>
      <x v="1"/>
    </i>
    <i>
      <x v="20"/>
      <x v="7"/>
      <x/>
      <x/>
      <x v="6"/>
      <x v="1"/>
      <x/>
    </i>
    <i>
      <x v="21"/>
      <x v="9"/>
      <x v="1"/>
      <x v="1"/>
      <x/>
      <x v="5"/>
      <x v="1"/>
    </i>
    <i>
      <x v="22"/>
      <x v="9"/>
      <x/>
      <x/>
      <x v="8"/>
      <x/>
      <x/>
    </i>
    <i>
      <x v="23"/>
      <x v="9"/>
      <x v="1"/>
      <x v="1"/>
      <x v="5"/>
      <x v="2"/>
      <x v="1"/>
    </i>
  </rowItems>
  <colItems count="1">
    <i/>
  </colItems>
  <formats count="251">
    <format dxfId="20358">
      <pivotArea type="all" dataOnly="0" outline="0" fieldPosition="0"/>
    </format>
    <format dxfId="20359">
      <pivotArea outline="0" collapsedLevelsAreSubtotals="1" fieldPosition="0"/>
    </format>
    <format dxfId="20360">
      <pivotArea dataOnly="0" labelOnly="1" outline="0" axis="axisValues" fieldPosition="0"/>
    </format>
    <format dxfId="20361">
      <pivotArea dataOnly="0" labelOnly="1" outline="0" axis="axisValues" fieldPosition="0"/>
    </format>
    <format dxfId="20362">
      <pivotArea type="all" dataOnly="0" outline="0" fieldPosition="0"/>
    </format>
    <format dxfId="20363">
      <pivotArea outline="0" collapsedLevelsAreSubtotals="1" fieldPosition="0"/>
    </format>
    <format dxfId="20364">
      <pivotArea dataOnly="0" labelOnly="1" outline="0" axis="axisValues" fieldPosition="0"/>
    </format>
    <format dxfId="20365">
      <pivotArea type="all" dataOnly="0" outline="0" fieldPosition="0"/>
    </format>
    <format dxfId="20366">
      <pivotArea field="9" type="button" dataOnly="0" labelOnly="1" outline="0"/>
    </format>
    <format dxfId="20367">
      <pivotArea dataOnly="0" labelOnly="1" grandRow="1" outline="0" fieldPosition="0"/>
    </format>
    <format dxfId="20368">
      <pivotArea outline="0" collapsedLevelsAreSubtotals="1" fieldPosition="0"/>
    </format>
    <format dxfId="20369">
      <pivotArea dataOnly="0" labelOnly="1" outline="0" axis="axisValues" fieldPosition="0"/>
    </format>
    <format dxfId="20370">
      <pivotArea field="0" type="button" dataOnly="0" labelOnly="1" outline="0" axis="axisRow" fieldPosition="0"/>
    </format>
    <format dxfId="20371">
      <pivotArea dataOnly="0" labelOnly="1" outline="0" fieldPosition="0">
        <references count="1">
          <reference field="0" count="0"/>
        </references>
      </pivotArea>
    </format>
    <format dxfId="20372">
      <pivotArea dataOnly="0" labelOnly="1" outline="0" fieldPosition="0">
        <references count="2">
          <reference field="0" count="1" selected="0">
            <x v="0"/>
          </reference>
          <reference field="1" count="1">
            <x v="0"/>
          </reference>
        </references>
      </pivotArea>
    </format>
    <format dxfId="20373">
      <pivotArea dataOnly="0" labelOnly="1" outline="0" fieldPosition="0">
        <references count="2">
          <reference field="0" count="1" selected="0">
            <x v="1"/>
          </reference>
          <reference field="1" count="1">
            <x v="1"/>
          </reference>
        </references>
      </pivotArea>
    </format>
    <format dxfId="20374">
      <pivotArea dataOnly="0" labelOnly="1" outline="0" fieldPosition="0">
        <references count="2">
          <reference field="0" count="1" selected="0">
            <x v="2"/>
          </reference>
          <reference field="1" count="1">
            <x v="2"/>
          </reference>
        </references>
      </pivotArea>
    </format>
    <format dxfId="20375">
      <pivotArea dataOnly="0" labelOnly="1" outline="0" fieldPosition="0">
        <references count="2">
          <reference field="0" count="1" selected="0">
            <x v="3"/>
          </reference>
          <reference field="1" count="1">
            <x v="3"/>
          </reference>
        </references>
      </pivotArea>
    </format>
    <format dxfId="20376">
      <pivotArea dataOnly="0" labelOnly="1" outline="0" fieldPosition="0">
        <references count="2">
          <reference field="0" count="1" selected="0">
            <x v="4"/>
          </reference>
          <reference field="1" count="1">
            <x v="4"/>
          </reference>
        </references>
      </pivotArea>
    </format>
    <format dxfId="20377">
      <pivotArea dataOnly="0" labelOnly="1" outline="0" fieldPosition="0">
        <references count="2">
          <reference field="0" count="1" selected="0">
            <x v="5"/>
          </reference>
          <reference field="1" count="1">
            <x v="5"/>
          </reference>
        </references>
      </pivotArea>
    </format>
    <format dxfId="20378">
      <pivotArea dataOnly="0" labelOnly="1" outline="0" fieldPosition="0">
        <references count="2">
          <reference field="0" count="1" selected="0">
            <x v="6"/>
          </reference>
          <reference field="1" count="1">
            <x v="6"/>
          </reference>
        </references>
      </pivotArea>
    </format>
    <format dxfId="20379">
      <pivotArea dataOnly="0" labelOnly="1" outline="0" fieldPosition="0">
        <references count="2">
          <reference field="0" count="1" selected="0">
            <x v="7"/>
          </reference>
          <reference field="1" count="1">
            <x v="7"/>
          </reference>
        </references>
      </pivotArea>
    </format>
    <format dxfId="20380">
      <pivotArea dataOnly="0" labelOnly="1" outline="0" fieldPosition="0">
        <references count="2">
          <reference field="0" count="1" selected="0">
            <x v="8"/>
          </reference>
          <reference field="1" count="1">
            <x v="8"/>
          </reference>
        </references>
      </pivotArea>
    </format>
    <format dxfId="20381">
      <pivotArea dataOnly="0" labelOnly="1" outline="0" fieldPosition="0">
        <references count="2">
          <reference field="0" count="1" selected="0">
            <x v="9"/>
          </reference>
          <reference field="1" count="1">
            <x v="9"/>
          </reference>
        </references>
      </pivotArea>
    </format>
    <format dxfId="20382">
      <pivotArea dataOnly="0" labelOnly="1" outline="0" fieldPosition="0">
        <references count="2">
          <reference field="0" count="1" selected="0">
            <x v="10"/>
          </reference>
          <reference field="1" count="1">
            <x v="10"/>
          </reference>
        </references>
      </pivotArea>
    </format>
    <format dxfId="20383">
      <pivotArea dataOnly="0" labelOnly="1" outline="0" fieldPosition="0">
        <references count="2">
          <reference field="0" count="1" selected="0">
            <x v="11"/>
          </reference>
          <reference field="1" count="1">
            <x v="11"/>
          </reference>
        </references>
      </pivotArea>
    </format>
    <format dxfId="20384">
      <pivotArea dataOnly="0" labelOnly="1" outline="0" fieldPosition="0">
        <references count="2">
          <reference field="0" count="1" selected="0">
            <x v="12"/>
          </reference>
          <reference field="1" count="1">
            <x v="0"/>
          </reference>
        </references>
      </pivotArea>
    </format>
    <format dxfId="20385">
      <pivotArea dataOnly="0" labelOnly="1" outline="0" fieldPosition="0">
        <references count="2">
          <reference field="0" count="1" selected="0">
            <x v="13"/>
          </reference>
          <reference field="1" count="1">
            <x v="1"/>
          </reference>
        </references>
      </pivotArea>
    </format>
    <format dxfId="20386">
      <pivotArea dataOnly="0" labelOnly="1" outline="0" fieldPosition="0">
        <references count="2">
          <reference field="0" count="1" selected="0">
            <x v="14"/>
          </reference>
          <reference field="1" count="1">
            <x v="2"/>
          </reference>
        </references>
      </pivotArea>
    </format>
    <format dxfId="20387">
      <pivotArea dataOnly="0" labelOnly="1" outline="0" fieldPosition="0">
        <references count="2">
          <reference field="0" count="1" selected="0">
            <x v="17"/>
          </reference>
          <reference field="1" count="1">
            <x v="5"/>
          </reference>
        </references>
      </pivotArea>
    </format>
    <format dxfId="20388">
      <pivotArea dataOnly="0" labelOnly="1" outline="0" fieldPosition="0">
        <references count="2">
          <reference field="0" count="1" selected="0">
            <x v="18"/>
          </reference>
          <reference field="1" count="1">
            <x v="6"/>
          </reference>
        </references>
      </pivotArea>
    </format>
    <format dxfId="20389">
      <pivotArea dataOnly="0" labelOnly="1" outline="0" fieldPosition="0">
        <references count="2">
          <reference field="0" count="1" selected="0">
            <x v="19"/>
          </reference>
          <reference field="1" count="1">
            <x v="7"/>
          </reference>
        </references>
      </pivotArea>
    </format>
    <format dxfId="20390">
      <pivotArea dataOnly="0" labelOnly="1" outline="0" fieldPosition="0">
        <references count="2">
          <reference field="0" count="1" selected="0">
            <x v="21"/>
          </reference>
          <reference field="1" count="1">
            <x v="9"/>
          </reference>
        </references>
      </pivotArea>
    </format>
    <format dxfId="20391">
      <pivotArea type="all" dataOnly="0" outline="0" fieldPosition="0"/>
    </format>
    <format dxfId="20392">
      <pivotArea dataOnly="0" labelOnly="1" outline="0" fieldPosition="0">
        <references count="2">
          <reference field="0" count="1" selected="0">
            <x v="0"/>
          </reference>
          <reference field="1" count="1">
            <x v="0"/>
          </reference>
        </references>
      </pivotArea>
    </format>
    <format dxfId="20393">
      <pivotArea dataOnly="0" labelOnly="1" outline="0" fieldPosition="0">
        <references count="2">
          <reference field="0" count="1" selected="0">
            <x v="1"/>
          </reference>
          <reference field="1" count="1">
            <x v="1"/>
          </reference>
        </references>
      </pivotArea>
    </format>
    <format dxfId="20394">
      <pivotArea dataOnly="0" labelOnly="1" outline="0" fieldPosition="0">
        <references count="2">
          <reference field="0" count="1" selected="0">
            <x v="2"/>
          </reference>
          <reference field="1" count="1">
            <x v="2"/>
          </reference>
        </references>
      </pivotArea>
    </format>
    <format dxfId="20395">
      <pivotArea dataOnly="0" labelOnly="1" outline="0" fieldPosition="0">
        <references count="2">
          <reference field="0" count="1" selected="0">
            <x v="3"/>
          </reference>
          <reference field="1" count="1">
            <x v="3"/>
          </reference>
        </references>
      </pivotArea>
    </format>
    <format dxfId="20396">
      <pivotArea dataOnly="0" labelOnly="1" outline="0" fieldPosition="0">
        <references count="2">
          <reference field="0" count="1" selected="0">
            <x v="4"/>
          </reference>
          <reference field="1" count="1">
            <x v="4"/>
          </reference>
        </references>
      </pivotArea>
    </format>
    <format dxfId="20397">
      <pivotArea dataOnly="0" labelOnly="1" outline="0" fieldPosition="0">
        <references count="2">
          <reference field="0" count="1" selected="0">
            <x v="5"/>
          </reference>
          <reference field="1" count="1">
            <x v="5"/>
          </reference>
        </references>
      </pivotArea>
    </format>
    <format dxfId="20398">
      <pivotArea dataOnly="0" labelOnly="1" outline="0" fieldPosition="0">
        <references count="2">
          <reference field="0" count="1" selected="0">
            <x v="6"/>
          </reference>
          <reference field="1" count="1">
            <x v="6"/>
          </reference>
        </references>
      </pivotArea>
    </format>
    <format dxfId="20399">
      <pivotArea dataOnly="0" labelOnly="1" outline="0" fieldPosition="0">
        <references count="2">
          <reference field="0" count="1" selected="0">
            <x v="7"/>
          </reference>
          <reference field="1" count="1">
            <x v="7"/>
          </reference>
        </references>
      </pivotArea>
    </format>
    <format dxfId="20400">
      <pivotArea dataOnly="0" labelOnly="1" outline="0" fieldPosition="0">
        <references count="2">
          <reference field="0" count="1" selected="0">
            <x v="8"/>
          </reference>
          <reference field="1" count="1">
            <x v="8"/>
          </reference>
        </references>
      </pivotArea>
    </format>
    <format dxfId="20401">
      <pivotArea dataOnly="0" labelOnly="1" outline="0" fieldPosition="0">
        <references count="2">
          <reference field="0" count="1" selected="0">
            <x v="9"/>
          </reference>
          <reference field="1" count="1">
            <x v="9"/>
          </reference>
        </references>
      </pivotArea>
    </format>
    <format dxfId="20402">
      <pivotArea dataOnly="0" labelOnly="1" outline="0" fieldPosition="0">
        <references count="2">
          <reference field="0" count="1" selected="0">
            <x v="10"/>
          </reference>
          <reference field="1" count="1">
            <x v="10"/>
          </reference>
        </references>
      </pivotArea>
    </format>
    <format dxfId="20403">
      <pivotArea dataOnly="0" labelOnly="1" outline="0" fieldPosition="0">
        <references count="2">
          <reference field="0" count="1" selected="0">
            <x v="11"/>
          </reference>
          <reference field="1" count="1">
            <x v="11"/>
          </reference>
        </references>
      </pivotArea>
    </format>
    <format dxfId="20404">
      <pivotArea dataOnly="0" labelOnly="1" outline="0" fieldPosition="0">
        <references count="2">
          <reference field="0" count="1" selected="0">
            <x v="12"/>
          </reference>
          <reference field="1" count="1">
            <x v="0"/>
          </reference>
        </references>
      </pivotArea>
    </format>
    <format dxfId="20405">
      <pivotArea dataOnly="0" labelOnly="1" outline="0" fieldPosition="0">
        <references count="2">
          <reference field="0" count="1" selected="0">
            <x v="13"/>
          </reference>
          <reference field="1" count="1">
            <x v="1"/>
          </reference>
        </references>
      </pivotArea>
    </format>
    <format dxfId="20406">
      <pivotArea dataOnly="0" labelOnly="1" outline="0" fieldPosition="0">
        <references count="2">
          <reference field="0" count="1" selected="0">
            <x v="14"/>
          </reference>
          <reference field="1" count="1">
            <x v="2"/>
          </reference>
        </references>
      </pivotArea>
    </format>
    <format dxfId="20407">
      <pivotArea dataOnly="0" labelOnly="1" outline="0" fieldPosition="0">
        <references count="2">
          <reference field="0" count="1" selected="0">
            <x v="17"/>
          </reference>
          <reference field="1" count="1">
            <x v="5"/>
          </reference>
        </references>
      </pivotArea>
    </format>
    <format dxfId="20408">
      <pivotArea dataOnly="0" labelOnly="1" outline="0" fieldPosition="0">
        <references count="2">
          <reference field="0" count="1" selected="0">
            <x v="18"/>
          </reference>
          <reference field="1" count="1">
            <x v="6"/>
          </reference>
        </references>
      </pivotArea>
    </format>
    <format dxfId="20409">
      <pivotArea dataOnly="0" labelOnly="1" outline="0" fieldPosition="0">
        <references count="2">
          <reference field="0" count="1" selected="0">
            <x v="19"/>
          </reference>
          <reference field="1" count="1">
            <x v="7"/>
          </reference>
        </references>
      </pivotArea>
    </format>
    <format dxfId="20410">
      <pivotArea dataOnly="0" labelOnly="1" outline="0" fieldPosition="0">
        <references count="2">
          <reference field="0" count="1" selected="0">
            <x v="21"/>
          </reference>
          <reference field="1" count="1">
            <x v="9"/>
          </reference>
        </references>
      </pivotArea>
    </format>
    <format dxfId="20411">
      <pivotArea dataOnly="0" labelOnly="1" outline="0" fieldPosition="0">
        <references count="2">
          <reference field="0" count="1" selected="0">
            <x v="0"/>
          </reference>
          <reference field="1" count="1">
            <x v="0"/>
          </reference>
        </references>
      </pivotArea>
    </format>
    <format dxfId="20412">
      <pivotArea dataOnly="0" labelOnly="1" outline="0" fieldPosition="0">
        <references count="2">
          <reference field="0" count="1" selected="0">
            <x v="1"/>
          </reference>
          <reference field="1" count="1">
            <x v="1"/>
          </reference>
        </references>
      </pivotArea>
    </format>
    <format dxfId="20413">
      <pivotArea dataOnly="0" labelOnly="1" outline="0" fieldPosition="0">
        <references count="2">
          <reference field="0" count="1" selected="0">
            <x v="2"/>
          </reference>
          <reference field="1" count="1">
            <x v="2"/>
          </reference>
        </references>
      </pivotArea>
    </format>
    <format dxfId="20414">
      <pivotArea dataOnly="0" labelOnly="1" outline="0" fieldPosition="0">
        <references count="2">
          <reference field="0" count="1" selected="0">
            <x v="3"/>
          </reference>
          <reference field="1" count="1">
            <x v="3"/>
          </reference>
        </references>
      </pivotArea>
    </format>
    <format dxfId="20415">
      <pivotArea dataOnly="0" labelOnly="1" outline="0" fieldPosition="0">
        <references count="2">
          <reference field="0" count="1" selected="0">
            <x v="4"/>
          </reference>
          <reference field="1" count="1">
            <x v="4"/>
          </reference>
        </references>
      </pivotArea>
    </format>
    <format dxfId="20416">
      <pivotArea dataOnly="0" labelOnly="1" outline="0" fieldPosition="0">
        <references count="2">
          <reference field="0" count="1" selected="0">
            <x v="5"/>
          </reference>
          <reference field="1" count="1">
            <x v="5"/>
          </reference>
        </references>
      </pivotArea>
    </format>
    <format dxfId="20417">
      <pivotArea dataOnly="0" labelOnly="1" outline="0" fieldPosition="0">
        <references count="2">
          <reference field="0" count="1" selected="0">
            <x v="6"/>
          </reference>
          <reference field="1" count="1">
            <x v="6"/>
          </reference>
        </references>
      </pivotArea>
    </format>
    <format dxfId="20418">
      <pivotArea dataOnly="0" labelOnly="1" outline="0" fieldPosition="0">
        <references count="2">
          <reference field="0" count="1" selected="0">
            <x v="7"/>
          </reference>
          <reference field="1" count="1">
            <x v="7"/>
          </reference>
        </references>
      </pivotArea>
    </format>
    <format dxfId="20419">
      <pivotArea dataOnly="0" labelOnly="1" outline="0" fieldPosition="0">
        <references count="2">
          <reference field="0" count="1" selected="0">
            <x v="8"/>
          </reference>
          <reference field="1" count="1">
            <x v="8"/>
          </reference>
        </references>
      </pivotArea>
    </format>
    <format dxfId="20420">
      <pivotArea dataOnly="0" labelOnly="1" outline="0" fieldPosition="0">
        <references count="2">
          <reference field="0" count="1" selected="0">
            <x v="9"/>
          </reference>
          <reference field="1" count="1">
            <x v="9"/>
          </reference>
        </references>
      </pivotArea>
    </format>
    <format dxfId="20421">
      <pivotArea dataOnly="0" labelOnly="1" outline="0" fieldPosition="0">
        <references count="2">
          <reference field="0" count="1" selected="0">
            <x v="10"/>
          </reference>
          <reference field="1" count="1">
            <x v="10"/>
          </reference>
        </references>
      </pivotArea>
    </format>
    <format dxfId="20422">
      <pivotArea dataOnly="0" labelOnly="1" outline="0" fieldPosition="0">
        <references count="2">
          <reference field="0" count="1" selected="0">
            <x v="11"/>
          </reference>
          <reference field="1" count="1">
            <x v="11"/>
          </reference>
        </references>
      </pivotArea>
    </format>
    <format dxfId="20423">
      <pivotArea dataOnly="0" labelOnly="1" outline="0" fieldPosition="0">
        <references count="2">
          <reference field="0" count="1" selected="0">
            <x v="12"/>
          </reference>
          <reference field="1" count="1">
            <x v="0"/>
          </reference>
        </references>
      </pivotArea>
    </format>
    <format dxfId="20424">
      <pivotArea dataOnly="0" labelOnly="1" outline="0" fieldPosition="0">
        <references count="2">
          <reference field="0" count="1" selected="0">
            <x v="13"/>
          </reference>
          <reference field="1" count="1">
            <x v="1"/>
          </reference>
        </references>
      </pivotArea>
    </format>
    <format dxfId="20425">
      <pivotArea dataOnly="0" labelOnly="1" outline="0" fieldPosition="0">
        <references count="2">
          <reference field="0" count="1" selected="0">
            <x v="14"/>
          </reference>
          <reference field="1" count="1">
            <x v="2"/>
          </reference>
        </references>
      </pivotArea>
    </format>
    <format dxfId="20426">
      <pivotArea dataOnly="0" labelOnly="1" outline="0" fieldPosition="0">
        <references count="2">
          <reference field="0" count="1" selected="0">
            <x v="17"/>
          </reference>
          <reference field="1" count="1">
            <x v="5"/>
          </reference>
        </references>
      </pivotArea>
    </format>
    <format dxfId="20427">
      <pivotArea dataOnly="0" labelOnly="1" outline="0" fieldPosition="0">
        <references count="2">
          <reference field="0" count="1" selected="0">
            <x v="18"/>
          </reference>
          <reference field="1" count="1">
            <x v="6"/>
          </reference>
        </references>
      </pivotArea>
    </format>
    <format dxfId="20428">
      <pivotArea dataOnly="0" labelOnly="1" outline="0" fieldPosition="0">
        <references count="2">
          <reference field="0" count="1" selected="0">
            <x v="19"/>
          </reference>
          <reference field="1" count="1">
            <x v="7"/>
          </reference>
        </references>
      </pivotArea>
    </format>
    <format dxfId="20429">
      <pivotArea dataOnly="0" labelOnly="1" outline="0" fieldPosition="0">
        <references count="2">
          <reference field="0" count="1" selected="0">
            <x v="21"/>
          </reference>
          <reference field="1" count="1">
            <x v="9"/>
          </reference>
        </references>
      </pivotArea>
    </format>
    <format dxfId="20430">
      <pivotArea type="all" dataOnly="0" outline="0" fieldPosition="0"/>
    </format>
    <format dxfId="20431">
      <pivotArea dataOnly="0" labelOnly="1" outline="0" fieldPosition="0">
        <references count="1">
          <reference field="0" count="0"/>
        </references>
      </pivotArea>
    </format>
    <format dxfId="20432">
      <pivotArea dataOnly="0" labelOnly="1" outline="0" fieldPosition="0">
        <references count="2">
          <reference field="0" count="1" selected="0">
            <x v="0"/>
          </reference>
          <reference field="1" count="1">
            <x v="0"/>
          </reference>
        </references>
      </pivotArea>
    </format>
    <format dxfId="20433">
      <pivotArea dataOnly="0" labelOnly="1" outline="0" fieldPosition="0">
        <references count="2">
          <reference field="0" count="1" selected="0">
            <x v="1"/>
          </reference>
          <reference field="1" count="1">
            <x v="1"/>
          </reference>
        </references>
      </pivotArea>
    </format>
    <format dxfId="20434">
      <pivotArea dataOnly="0" labelOnly="1" outline="0" fieldPosition="0">
        <references count="2">
          <reference field="0" count="1" selected="0">
            <x v="2"/>
          </reference>
          <reference field="1" count="1">
            <x v="2"/>
          </reference>
        </references>
      </pivotArea>
    </format>
    <format dxfId="20435">
      <pivotArea dataOnly="0" labelOnly="1" outline="0" fieldPosition="0">
        <references count="2">
          <reference field="0" count="1" selected="0">
            <x v="3"/>
          </reference>
          <reference field="1" count="1">
            <x v="3"/>
          </reference>
        </references>
      </pivotArea>
    </format>
    <format dxfId="20436">
      <pivotArea dataOnly="0" labelOnly="1" outline="0" fieldPosition="0">
        <references count="2">
          <reference field="0" count="1" selected="0">
            <x v="4"/>
          </reference>
          <reference field="1" count="1">
            <x v="4"/>
          </reference>
        </references>
      </pivotArea>
    </format>
    <format dxfId="20437">
      <pivotArea dataOnly="0" labelOnly="1" outline="0" fieldPosition="0">
        <references count="2">
          <reference field="0" count="1" selected="0">
            <x v="5"/>
          </reference>
          <reference field="1" count="1">
            <x v="5"/>
          </reference>
        </references>
      </pivotArea>
    </format>
    <format dxfId="20438">
      <pivotArea dataOnly="0" labelOnly="1" outline="0" fieldPosition="0">
        <references count="2">
          <reference field="0" count="1" selected="0">
            <x v="6"/>
          </reference>
          <reference field="1" count="1">
            <x v="6"/>
          </reference>
        </references>
      </pivotArea>
    </format>
    <format dxfId="20439">
      <pivotArea dataOnly="0" labelOnly="1" outline="0" fieldPosition="0">
        <references count="2">
          <reference field="0" count="1" selected="0">
            <x v="7"/>
          </reference>
          <reference field="1" count="1">
            <x v="7"/>
          </reference>
        </references>
      </pivotArea>
    </format>
    <format dxfId="20440">
      <pivotArea dataOnly="0" labelOnly="1" outline="0" fieldPosition="0">
        <references count="2">
          <reference field="0" count="1" selected="0">
            <x v="8"/>
          </reference>
          <reference field="1" count="1">
            <x v="8"/>
          </reference>
        </references>
      </pivotArea>
    </format>
    <format dxfId="20441">
      <pivotArea dataOnly="0" labelOnly="1" outline="0" fieldPosition="0">
        <references count="2">
          <reference field="0" count="1" selected="0">
            <x v="9"/>
          </reference>
          <reference field="1" count="1">
            <x v="9"/>
          </reference>
        </references>
      </pivotArea>
    </format>
    <format dxfId="20442">
      <pivotArea dataOnly="0" labelOnly="1" outline="0" fieldPosition="0">
        <references count="2">
          <reference field="0" count="1" selected="0">
            <x v="10"/>
          </reference>
          <reference field="1" count="1">
            <x v="10"/>
          </reference>
        </references>
      </pivotArea>
    </format>
    <format dxfId="20443">
      <pivotArea dataOnly="0" labelOnly="1" outline="0" fieldPosition="0">
        <references count="2">
          <reference field="0" count="1" selected="0">
            <x v="11"/>
          </reference>
          <reference field="1" count="1">
            <x v="11"/>
          </reference>
        </references>
      </pivotArea>
    </format>
    <format dxfId="20444">
      <pivotArea dataOnly="0" labelOnly="1" outline="0" fieldPosition="0">
        <references count="2">
          <reference field="0" count="1" selected="0">
            <x v="12"/>
          </reference>
          <reference field="1" count="1">
            <x v="0"/>
          </reference>
        </references>
      </pivotArea>
    </format>
    <format dxfId="20445">
      <pivotArea dataOnly="0" labelOnly="1" outline="0" fieldPosition="0">
        <references count="2">
          <reference field="0" count="1" selected="0">
            <x v="13"/>
          </reference>
          <reference field="1" count="1">
            <x v="1"/>
          </reference>
        </references>
      </pivotArea>
    </format>
    <format dxfId="20446">
      <pivotArea dataOnly="0" labelOnly="1" outline="0" fieldPosition="0">
        <references count="2">
          <reference field="0" count="1" selected="0">
            <x v="14"/>
          </reference>
          <reference field="1" count="1">
            <x v="2"/>
          </reference>
        </references>
      </pivotArea>
    </format>
    <format dxfId="20447">
      <pivotArea dataOnly="0" labelOnly="1" outline="0" fieldPosition="0">
        <references count="2">
          <reference field="0" count="1" selected="0">
            <x v="17"/>
          </reference>
          <reference field="1" count="1">
            <x v="5"/>
          </reference>
        </references>
      </pivotArea>
    </format>
    <format dxfId="20448">
      <pivotArea dataOnly="0" labelOnly="1" outline="0" fieldPosition="0">
        <references count="2">
          <reference field="0" count="1" selected="0">
            <x v="18"/>
          </reference>
          <reference field="1" count="1">
            <x v="6"/>
          </reference>
        </references>
      </pivotArea>
    </format>
    <format dxfId="20449">
      <pivotArea dataOnly="0" labelOnly="1" outline="0" fieldPosition="0">
        <references count="2">
          <reference field="0" count="1" selected="0">
            <x v="19"/>
          </reference>
          <reference field="1" count="1">
            <x v="7"/>
          </reference>
        </references>
      </pivotArea>
    </format>
    <format dxfId="20450">
      <pivotArea dataOnly="0" labelOnly="1" outline="0" fieldPosition="0">
        <references count="2">
          <reference field="0" count="1" selected="0">
            <x v="21"/>
          </reference>
          <reference field="1" count="1">
            <x v="9"/>
          </reference>
        </references>
      </pivotArea>
    </format>
    <format dxfId="20451">
      <pivotArea dataOnly="0" labelOnly="1" outline="0" fieldPosition="0">
        <references count="2">
          <reference field="0" count="1" selected="0">
            <x v="0"/>
          </reference>
          <reference field="1" count="1">
            <x v="0"/>
          </reference>
        </references>
      </pivotArea>
    </format>
    <format dxfId="20452">
      <pivotArea dataOnly="0" labelOnly="1" outline="0" fieldPosition="0">
        <references count="2">
          <reference field="0" count="1" selected="0">
            <x v="1"/>
          </reference>
          <reference field="1" count="1">
            <x v="1"/>
          </reference>
        </references>
      </pivotArea>
    </format>
    <format dxfId="20453">
      <pivotArea dataOnly="0" labelOnly="1" outline="0" fieldPosition="0">
        <references count="2">
          <reference field="0" count="1" selected="0">
            <x v="2"/>
          </reference>
          <reference field="1" count="1">
            <x v="2"/>
          </reference>
        </references>
      </pivotArea>
    </format>
    <format dxfId="20454">
      <pivotArea dataOnly="0" labelOnly="1" outline="0" fieldPosition="0">
        <references count="2">
          <reference field="0" count="1" selected="0">
            <x v="3"/>
          </reference>
          <reference field="1" count="1">
            <x v="3"/>
          </reference>
        </references>
      </pivotArea>
    </format>
    <format dxfId="20455">
      <pivotArea dataOnly="0" labelOnly="1" outline="0" fieldPosition="0">
        <references count="2">
          <reference field="0" count="1" selected="0">
            <x v="4"/>
          </reference>
          <reference field="1" count="1">
            <x v="4"/>
          </reference>
        </references>
      </pivotArea>
    </format>
    <format dxfId="20456">
      <pivotArea dataOnly="0" labelOnly="1" outline="0" fieldPosition="0">
        <references count="2">
          <reference field="0" count="1" selected="0">
            <x v="5"/>
          </reference>
          <reference field="1" count="1">
            <x v="5"/>
          </reference>
        </references>
      </pivotArea>
    </format>
    <format dxfId="20457">
      <pivotArea dataOnly="0" labelOnly="1" outline="0" fieldPosition="0">
        <references count="2">
          <reference field="0" count="1" selected="0">
            <x v="6"/>
          </reference>
          <reference field="1" count="1">
            <x v="6"/>
          </reference>
        </references>
      </pivotArea>
    </format>
    <format dxfId="20458">
      <pivotArea dataOnly="0" labelOnly="1" outline="0" fieldPosition="0">
        <references count="2">
          <reference field="0" count="1" selected="0">
            <x v="7"/>
          </reference>
          <reference field="1" count="1">
            <x v="7"/>
          </reference>
        </references>
      </pivotArea>
    </format>
    <format dxfId="20459">
      <pivotArea dataOnly="0" labelOnly="1" outline="0" fieldPosition="0">
        <references count="2">
          <reference field="0" count="1" selected="0">
            <x v="8"/>
          </reference>
          <reference field="1" count="1">
            <x v="8"/>
          </reference>
        </references>
      </pivotArea>
    </format>
    <format dxfId="20460">
      <pivotArea dataOnly="0" labelOnly="1" outline="0" fieldPosition="0">
        <references count="2">
          <reference field="0" count="1" selected="0">
            <x v="9"/>
          </reference>
          <reference field="1" count="1">
            <x v="9"/>
          </reference>
        </references>
      </pivotArea>
    </format>
    <format dxfId="20461">
      <pivotArea dataOnly="0" labelOnly="1" outline="0" fieldPosition="0">
        <references count="2">
          <reference field="0" count="1" selected="0">
            <x v="10"/>
          </reference>
          <reference field="1" count="1">
            <x v="10"/>
          </reference>
        </references>
      </pivotArea>
    </format>
    <format dxfId="20462">
      <pivotArea dataOnly="0" labelOnly="1" outline="0" fieldPosition="0">
        <references count="2">
          <reference field="0" count="1" selected="0">
            <x v="11"/>
          </reference>
          <reference field="1" count="1">
            <x v="11"/>
          </reference>
        </references>
      </pivotArea>
    </format>
    <format dxfId="20463">
      <pivotArea dataOnly="0" labelOnly="1" outline="0" fieldPosition="0">
        <references count="2">
          <reference field="0" count="1" selected="0">
            <x v="12"/>
          </reference>
          <reference field="1" count="1">
            <x v="0"/>
          </reference>
        </references>
      </pivotArea>
    </format>
    <format dxfId="20464">
      <pivotArea dataOnly="0" labelOnly="1" outline="0" fieldPosition="0">
        <references count="2">
          <reference field="0" count="1" selected="0">
            <x v="13"/>
          </reference>
          <reference field="1" count="1">
            <x v="1"/>
          </reference>
        </references>
      </pivotArea>
    </format>
    <format dxfId="20465">
      <pivotArea dataOnly="0" labelOnly="1" outline="0" fieldPosition="0">
        <references count="2">
          <reference field="0" count="1" selected="0">
            <x v="14"/>
          </reference>
          <reference field="1" count="1">
            <x v="2"/>
          </reference>
        </references>
      </pivotArea>
    </format>
    <format dxfId="20466">
      <pivotArea dataOnly="0" labelOnly="1" outline="0" fieldPosition="0">
        <references count="2">
          <reference field="0" count="1" selected="0">
            <x v="17"/>
          </reference>
          <reference field="1" count="1">
            <x v="5"/>
          </reference>
        </references>
      </pivotArea>
    </format>
    <format dxfId="20467">
      <pivotArea dataOnly="0" labelOnly="1" outline="0" fieldPosition="0">
        <references count="2">
          <reference field="0" count="1" selected="0">
            <x v="18"/>
          </reference>
          <reference field="1" count="1">
            <x v="6"/>
          </reference>
        </references>
      </pivotArea>
    </format>
    <format dxfId="20468">
      <pivotArea dataOnly="0" labelOnly="1" outline="0" fieldPosition="0">
        <references count="2">
          <reference field="0" count="1" selected="0">
            <x v="19"/>
          </reference>
          <reference field="1" count="1">
            <x v="7"/>
          </reference>
        </references>
      </pivotArea>
    </format>
    <format dxfId="20469">
      <pivotArea dataOnly="0" labelOnly="1" outline="0" fieldPosition="0">
        <references count="2">
          <reference field="0" count="1" selected="0">
            <x v="21"/>
          </reference>
          <reference field="1" count="1">
            <x v="9"/>
          </reference>
        </references>
      </pivotArea>
    </format>
    <format dxfId="20470">
      <pivotArea type="all" dataOnly="0" outline="0" fieldPosition="0"/>
    </format>
    <format dxfId="20471">
      <pivotArea dataOnly="0" labelOnly="1" outline="0" fieldPosition="0">
        <references count="1">
          <reference field="0" count="0"/>
        </references>
      </pivotArea>
    </format>
    <format dxfId="20472">
      <pivotArea dataOnly="0" labelOnly="1" outline="0" fieldPosition="0">
        <references count="2">
          <reference field="0" count="1" selected="0">
            <x v="0"/>
          </reference>
          <reference field="1" count="1">
            <x v="0"/>
          </reference>
        </references>
      </pivotArea>
    </format>
    <format dxfId="20473">
      <pivotArea dataOnly="0" labelOnly="1" outline="0" fieldPosition="0">
        <references count="2">
          <reference field="0" count="1" selected="0">
            <x v="1"/>
          </reference>
          <reference field="1" count="1">
            <x v="1"/>
          </reference>
        </references>
      </pivotArea>
    </format>
    <format dxfId="20474">
      <pivotArea dataOnly="0" labelOnly="1" outline="0" fieldPosition="0">
        <references count="2">
          <reference field="0" count="1" selected="0">
            <x v="2"/>
          </reference>
          <reference field="1" count="1">
            <x v="2"/>
          </reference>
        </references>
      </pivotArea>
    </format>
    <format dxfId="20475">
      <pivotArea dataOnly="0" labelOnly="1" outline="0" fieldPosition="0">
        <references count="2">
          <reference field="0" count="1" selected="0">
            <x v="3"/>
          </reference>
          <reference field="1" count="1">
            <x v="3"/>
          </reference>
        </references>
      </pivotArea>
    </format>
    <format dxfId="20476">
      <pivotArea dataOnly="0" labelOnly="1" outline="0" fieldPosition="0">
        <references count="2">
          <reference field="0" count="1" selected="0">
            <x v="4"/>
          </reference>
          <reference field="1" count="1">
            <x v="4"/>
          </reference>
        </references>
      </pivotArea>
    </format>
    <format dxfId="20477">
      <pivotArea dataOnly="0" labelOnly="1" outline="0" fieldPosition="0">
        <references count="2">
          <reference field="0" count="1" selected="0">
            <x v="5"/>
          </reference>
          <reference field="1" count="1">
            <x v="5"/>
          </reference>
        </references>
      </pivotArea>
    </format>
    <format dxfId="20478">
      <pivotArea dataOnly="0" labelOnly="1" outline="0" fieldPosition="0">
        <references count="2">
          <reference field="0" count="1" selected="0">
            <x v="6"/>
          </reference>
          <reference field="1" count="1">
            <x v="6"/>
          </reference>
        </references>
      </pivotArea>
    </format>
    <format dxfId="20479">
      <pivotArea dataOnly="0" labelOnly="1" outline="0" fieldPosition="0">
        <references count="2">
          <reference field="0" count="1" selected="0">
            <x v="7"/>
          </reference>
          <reference field="1" count="1">
            <x v="7"/>
          </reference>
        </references>
      </pivotArea>
    </format>
    <format dxfId="20480">
      <pivotArea dataOnly="0" labelOnly="1" outline="0" fieldPosition="0">
        <references count="2">
          <reference field="0" count="1" selected="0">
            <x v="8"/>
          </reference>
          <reference field="1" count="1">
            <x v="8"/>
          </reference>
        </references>
      </pivotArea>
    </format>
    <format dxfId="20481">
      <pivotArea dataOnly="0" labelOnly="1" outline="0" fieldPosition="0">
        <references count="2">
          <reference field="0" count="1" selected="0">
            <x v="9"/>
          </reference>
          <reference field="1" count="1">
            <x v="9"/>
          </reference>
        </references>
      </pivotArea>
    </format>
    <format dxfId="20482">
      <pivotArea dataOnly="0" labelOnly="1" outline="0" fieldPosition="0">
        <references count="2">
          <reference field="0" count="1" selected="0">
            <x v="10"/>
          </reference>
          <reference field="1" count="1">
            <x v="10"/>
          </reference>
        </references>
      </pivotArea>
    </format>
    <format dxfId="20483">
      <pivotArea dataOnly="0" labelOnly="1" outline="0" fieldPosition="0">
        <references count="2">
          <reference field="0" count="1" selected="0">
            <x v="11"/>
          </reference>
          <reference field="1" count="1">
            <x v="11"/>
          </reference>
        </references>
      </pivotArea>
    </format>
    <format dxfId="20484">
      <pivotArea dataOnly="0" labelOnly="1" outline="0" fieldPosition="0">
        <references count="2">
          <reference field="0" count="1" selected="0">
            <x v="12"/>
          </reference>
          <reference field="1" count="1">
            <x v="0"/>
          </reference>
        </references>
      </pivotArea>
    </format>
    <format dxfId="20485">
      <pivotArea dataOnly="0" labelOnly="1" outline="0" fieldPosition="0">
        <references count="2">
          <reference field="0" count="1" selected="0">
            <x v="13"/>
          </reference>
          <reference field="1" count="1">
            <x v="1"/>
          </reference>
        </references>
      </pivotArea>
    </format>
    <format dxfId="20486">
      <pivotArea dataOnly="0" labelOnly="1" outline="0" fieldPosition="0">
        <references count="2">
          <reference field="0" count="1" selected="0">
            <x v="14"/>
          </reference>
          <reference field="1" count="1">
            <x v="2"/>
          </reference>
        </references>
      </pivotArea>
    </format>
    <format dxfId="20487">
      <pivotArea dataOnly="0" labelOnly="1" outline="0" fieldPosition="0">
        <references count="2">
          <reference field="0" count="1" selected="0">
            <x v="17"/>
          </reference>
          <reference field="1" count="1">
            <x v="5"/>
          </reference>
        </references>
      </pivotArea>
    </format>
    <format dxfId="20488">
      <pivotArea dataOnly="0" labelOnly="1" outline="0" fieldPosition="0">
        <references count="2">
          <reference field="0" count="1" selected="0">
            <x v="18"/>
          </reference>
          <reference field="1" count="1">
            <x v="6"/>
          </reference>
        </references>
      </pivotArea>
    </format>
    <format dxfId="20489">
      <pivotArea dataOnly="0" labelOnly="1" outline="0" fieldPosition="0">
        <references count="2">
          <reference field="0" count="1" selected="0">
            <x v="19"/>
          </reference>
          <reference field="1" count="1">
            <x v="7"/>
          </reference>
        </references>
      </pivotArea>
    </format>
    <format dxfId="20490">
      <pivotArea dataOnly="0" labelOnly="1" outline="0" fieldPosition="0">
        <references count="2">
          <reference field="0" count="1" selected="0">
            <x v="21"/>
          </reference>
          <reference field="1" count="1">
            <x v="9"/>
          </reference>
        </references>
      </pivotArea>
    </format>
    <format dxfId="20491">
      <pivotArea dataOnly="0" labelOnly="1" outline="0" fieldPosition="0">
        <references count="3">
          <reference field="0" count="1" selected="0">
            <x v="0"/>
          </reference>
          <reference field="1" count="1" selected="0">
            <x v="0"/>
          </reference>
          <reference field="5" count="1">
            <x v="0"/>
          </reference>
        </references>
      </pivotArea>
    </format>
    <format dxfId="20492">
      <pivotArea dataOnly="0" labelOnly="1" outline="0" fieldPosition="0">
        <references count="3">
          <reference field="0" count="1" selected="0">
            <x v="1"/>
          </reference>
          <reference field="1" count="1" selected="0">
            <x v="1"/>
          </reference>
          <reference field="5" count="1">
            <x v="1"/>
          </reference>
        </references>
      </pivotArea>
    </format>
    <format dxfId="20493">
      <pivotArea dataOnly="0" labelOnly="1" outline="0" fieldPosition="0">
        <references count="3">
          <reference field="0" count="1" selected="0">
            <x v="2"/>
          </reference>
          <reference field="1" count="1" selected="0">
            <x v="2"/>
          </reference>
          <reference field="5" count="1">
            <x v="0"/>
          </reference>
        </references>
      </pivotArea>
    </format>
    <format dxfId="20494">
      <pivotArea dataOnly="0" labelOnly="1" outline="0" fieldPosition="0">
        <references count="3">
          <reference field="0" count="1" selected="0">
            <x v="3"/>
          </reference>
          <reference field="1" count="1" selected="0">
            <x v="3"/>
          </reference>
          <reference field="5" count="1">
            <x v="1"/>
          </reference>
        </references>
      </pivotArea>
    </format>
    <format dxfId="20495">
      <pivotArea dataOnly="0" labelOnly="1" outline="0" fieldPosition="0">
        <references count="3">
          <reference field="0" count="1" selected="0">
            <x v="4"/>
          </reference>
          <reference field="1" count="1" selected="0">
            <x v="4"/>
          </reference>
          <reference field="5" count="1">
            <x v="0"/>
          </reference>
        </references>
      </pivotArea>
    </format>
    <format dxfId="20496">
      <pivotArea dataOnly="0" labelOnly="1" outline="0" fieldPosition="0">
        <references count="3">
          <reference field="0" count="1" selected="0">
            <x v="5"/>
          </reference>
          <reference field="1" count="1" selected="0">
            <x v="5"/>
          </reference>
          <reference field="5" count="1">
            <x v="1"/>
          </reference>
        </references>
      </pivotArea>
    </format>
    <format dxfId="20497">
      <pivotArea dataOnly="0" labelOnly="1" outline="0" fieldPosition="0">
        <references count="3">
          <reference field="0" count="1" selected="0">
            <x v="6"/>
          </reference>
          <reference field="1" count="1" selected="0">
            <x v="6"/>
          </reference>
          <reference field="5" count="1">
            <x v="0"/>
          </reference>
        </references>
      </pivotArea>
    </format>
    <format dxfId="20498">
      <pivotArea dataOnly="0" labelOnly="1" outline="0" fieldPosition="0">
        <references count="3">
          <reference field="0" count="1" selected="0">
            <x v="7"/>
          </reference>
          <reference field="1" count="1" selected="0">
            <x v="7"/>
          </reference>
          <reference field="5" count="1">
            <x v="1"/>
          </reference>
        </references>
      </pivotArea>
    </format>
    <format dxfId="20499">
      <pivotArea dataOnly="0" labelOnly="1" outline="0" fieldPosition="0">
        <references count="3">
          <reference field="0" count="1" selected="0">
            <x v="8"/>
          </reference>
          <reference field="1" count="1" selected="0">
            <x v="8"/>
          </reference>
          <reference field="5" count="1">
            <x v="0"/>
          </reference>
        </references>
      </pivotArea>
    </format>
    <format dxfId="20500">
      <pivotArea dataOnly="0" labelOnly="1" outline="0" fieldPosition="0">
        <references count="3">
          <reference field="0" count="1" selected="0">
            <x v="9"/>
          </reference>
          <reference field="1" count="1" selected="0">
            <x v="9"/>
          </reference>
          <reference field="5" count="1">
            <x v="1"/>
          </reference>
        </references>
      </pivotArea>
    </format>
    <format dxfId="20501">
      <pivotArea dataOnly="0" labelOnly="1" outline="0" fieldPosition="0">
        <references count="3">
          <reference field="0" count="1" selected="0">
            <x v="10"/>
          </reference>
          <reference field="1" count="1" selected="0">
            <x v="10"/>
          </reference>
          <reference field="5" count="1">
            <x v="0"/>
          </reference>
        </references>
      </pivotArea>
    </format>
    <format dxfId="20502">
      <pivotArea dataOnly="0" labelOnly="1" outline="0" fieldPosition="0">
        <references count="3">
          <reference field="0" count="1" selected="0">
            <x v="11"/>
          </reference>
          <reference field="1" count="1" selected="0">
            <x v="11"/>
          </reference>
          <reference field="5" count="1">
            <x v="1"/>
          </reference>
        </references>
      </pivotArea>
    </format>
    <format dxfId="20503">
      <pivotArea dataOnly="0" labelOnly="1" outline="0" fieldPosition="0">
        <references count="3">
          <reference field="0" count="1" selected="0">
            <x v="12"/>
          </reference>
          <reference field="1" count="1" selected="0">
            <x v="0"/>
          </reference>
          <reference field="5" count="1">
            <x v="0"/>
          </reference>
        </references>
      </pivotArea>
    </format>
    <format dxfId="20504">
      <pivotArea dataOnly="0" labelOnly="1" outline="0" fieldPosition="0">
        <references count="3">
          <reference field="0" count="1" selected="0">
            <x v="13"/>
          </reference>
          <reference field="1" count="1" selected="0">
            <x v="1"/>
          </reference>
          <reference field="5" count="1">
            <x v="1"/>
          </reference>
        </references>
      </pivotArea>
    </format>
    <format dxfId="20505">
      <pivotArea dataOnly="0" labelOnly="1" outline="0" fieldPosition="0">
        <references count="3">
          <reference field="0" count="1" selected="0">
            <x v="14"/>
          </reference>
          <reference field="1" count="1" selected="0">
            <x v="2"/>
          </reference>
          <reference field="5" count="1">
            <x v="0"/>
          </reference>
        </references>
      </pivotArea>
    </format>
    <format dxfId="20506">
      <pivotArea dataOnly="0" labelOnly="1" outline="0" fieldPosition="0">
        <references count="3">
          <reference field="0" count="1" selected="0">
            <x v="15"/>
          </reference>
          <reference field="1" count="1" selected="0">
            <x v="2"/>
          </reference>
          <reference field="5" count="1">
            <x v="1"/>
          </reference>
        </references>
      </pivotArea>
    </format>
    <format dxfId="20507">
      <pivotArea dataOnly="0" labelOnly="1" outline="0" fieldPosition="0">
        <references count="3">
          <reference field="0" count="1" selected="0">
            <x v="16"/>
          </reference>
          <reference field="1" count="1" selected="0">
            <x v="2"/>
          </reference>
          <reference field="5" count="1">
            <x v="0"/>
          </reference>
        </references>
      </pivotArea>
    </format>
    <format dxfId="20508">
      <pivotArea dataOnly="0" labelOnly="1" outline="0" fieldPosition="0">
        <references count="3">
          <reference field="0" count="1" selected="0">
            <x v="17"/>
          </reference>
          <reference field="1" count="1" selected="0">
            <x v="5"/>
          </reference>
          <reference field="5" count="1">
            <x v="1"/>
          </reference>
        </references>
      </pivotArea>
    </format>
    <format dxfId="20509">
      <pivotArea dataOnly="0" labelOnly="1" outline="0" fieldPosition="0">
        <references count="3">
          <reference field="0" count="1" selected="0">
            <x v="18"/>
          </reference>
          <reference field="1" count="1" selected="0">
            <x v="6"/>
          </reference>
          <reference field="5" count="1">
            <x v="0"/>
          </reference>
        </references>
      </pivotArea>
    </format>
    <format dxfId="20510">
      <pivotArea dataOnly="0" labelOnly="1" outline="0" fieldPosition="0">
        <references count="3">
          <reference field="0" count="1" selected="0">
            <x v="19"/>
          </reference>
          <reference field="1" count="1" selected="0">
            <x v="7"/>
          </reference>
          <reference field="5" count="1">
            <x v="1"/>
          </reference>
        </references>
      </pivotArea>
    </format>
    <format dxfId="20511">
      <pivotArea dataOnly="0" labelOnly="1" outline="0" fieldPosition="0">
        <references count="3">
          <reference field="0" count="1" selected="0">
            <x v="20"/>
          </reference>
          <reference field="1" count="1" selected="0">
            <x v="7"/>
          </reference>
          <reference field="5" count="1">
            <x v="0"/>
          </reference>
        </references>
      </pivotArea>
    </format>
    <format dxfId="20512">
      <pivotArea dataOnly="0" labelOnly="1" outline="0" fieldPosition="0">
        <references count="3">
          <reference field="0" count="1" selected="0">
            <x v="21"/>
          </reference>
          <reference field="1" count="1" selected="0">
            <x v="9"/>
          </reference>
          <reference field="5" count="1">
            <x v="1"/>
          </reference>
        </references>
      </pivotArea>
    </format>
    <format dxfId="20513">
      <pivotArea dataOnly="0" labelOnly="1" outline="0" fieldPosition="0">
        <references count="3">
          <reference field="0" count="1" selected="0">
            <x v="22"/>
          </reference>
          <reference field="1" count="1" selected="0">
            <x v="9"/>
          </reference>
          <reference field="5" count="1">
            <x v="0"/>
          </reference>
        </references>
      </pivotArea>
    </format>
    <format dxfId="20514">
      <pivotArea dataOnly="0" labelOnly="1" outline="0" fieldPosition="0">
        <references count="3">
          <reference field="0" count="1" selected="0">
            <x v="23"/>
          </reference>
          <reference field="1" count="1" selected="0">
            <x v="9"/>
          </reference>
          <reference field="5" count="1">
            <x v="1"/>
          </reference>
        </references>
      </pivotArea>
    </format>
    <format dxfId="20515">
      <pivotArea dataOnly="0" labelOnly="1" outline="0" fieldPosition="0">
        <references count="4">
          <reference field="0" count="1" selected="0">
            <x v="0"/>
          </reference>
          <reference field="1" count="1" selected="0">
            <x v="0"/>
          </reference>
          <reference field="5" count="1" selected="0">
            <x v="0"/>
          </reference>
          <reference field="7" count="1">
            <x v="0"/>
          </reference>
        </references>
      </pivotArea>
    </format>
    <format dxfId="20516">
      <pivotArea dataOnly="0" labelOnly="1" outline="0" fieldPosition="0">
        <references count="4">
          <reference field="0" count="1" selected="0">
            <x v="1"/>
          </reference>
          <reference field="1" count="1" selected="0">
            <x v="1"/>
          </reference>
          <reference field="5" count="1" selected="0">
            <x v="1"/>
          </reference>
          <reference field="7" count="1">
            <x v="1"/>
          </reference>
        </references>
      </pivotArea>
    </format>
    <format dxfId="20517">
      <pivotArea dataOnly="0" labelOnly="1" outline="0" fieldPosition="0">
        <references count="4">
          <reference field="0" count="1" selected="0">
            <x v="2"/>
          </reference>
          <reference field="1" count="1" selected="0">
            <x v="2"/>
          </reference>
          <reference field="5" count="1" selected="0">
            <x v="0"/>
          </reference>
          <reference field="7" count="1">
            <x v="0"/>
          </reference>
        </references>
      </pivotArea>
    </format>
    <format dxfId="20518">
      <pivotArea dataOnly="0" labelOnly="1" outline="0" fieldPosition="0">
        <references count="4">
          <reference field="0" count="1" selected="0">
            <x v="3"/>
          </reference>
          <reference field="1" count="1" selected="0">
            <x v="3"/>
          </reference>
          <reference field="5" count="1" selected="0">
            <x v="1"/>
          </reference>
          <reference field="7" count="1">
            <x v="1"/>
          </reference>
        </references>
      </pivotArea>
    </format>
    <format dxfId="20519">
      <pivotArea dataOnly="0" labelOnly="1" outline="0" fieldPosition="0">
        <references count="4">
          <reference field="0" count="1" selected="0">
            <x v="4"/>
          </reference>
          <reference field="1" count="1" selected="0">
            <x v="4"/>
          </reference>
          <reference field="5" count="1" selected="0">
            <x v="0"/>
          </reference>
          <reference field="7" count="1">
            <x v="0"/>
          </reference>
        </references>
      </pivotArea>
    </format>
    <format dxfId="20520">
      <pivotArea dataOnly="0" labelOnly="1" outline="0" fieldPosition="0">
        <references count="4">
          <reference field="0" count="1" selected="0">
            <x v="5"/>
          </reference>
          <reference field="1" count="1" selected="0">
            <x v="5"/>
          </reference>
          <reference field="5" count="1" selected="0">
            <x v="1"/>
          </reference>
          <reference field="7" count="1">
            <x v="1"/>
          </reference>
        </references>
      </pivotArea>
    </format>
    <format dxfId="20521">
      <pivotArea dataOnly="0" labelOnly="1" outline="0" fieldPosition="0">
        <references count="4">
          <reference field="0" count="1" selected="0">
            <x v="6"/>
          </reference>
          <reference field="1" count="1" selected="0">
            <x v="6"/>
          </reference>
          <reference field="5" count="1" selected="0">
            <x v="0"/>
          </reference>
          <reference field="7" count="1">
            <x v="0"/>
          </reference>
        </references>
      </pivotArea>
    </format>
    <format dxfId="20522">
      <pivotArea dataOnly="0" labelOnly="1" outline="0" fieldPosition="0">
        <references count="4">
          <reference field="0" count="1" selected="0">
            <x v="7"/>
          </reference>
          <reference field="1" count="1" selected="0">
            <x v="7"/>
          </reference>
          <reference field="5" count="1" selected="0">
            <x v="1"/>
          </reference>
          <reference field="7" count="1">
            <x v="1"/>
          </reference>
        </references>
      </pivotArea>
    </format>
    <format dxfId="20523">
      <pivotArea dataOnly="0" labelOnly="1" outline="0" fieldPosition="0">
        <references count="4">
          <reference field="0" count="1" selected="0">
            <x v="8"/>
          </reference>
          <reference field="1" count="1" selected="0">
            <x v="8"/>
          </reference>
          <reference field="5" count="1" selected="0">
            <x v="0"/>
          </reference>
          <reference field="7" count="1">
            <x v="0"/>
          </reference>
        </references>
      </pivotArea>
    </format>
    <format dxfId="20524">
      <pivotArea dataOnly="0" labelOnly="1" outline="0" fieldPosition="0">
        <references count="4">
          <reference field="0" count="1" selected="0">
            <x v="9"/>
          </reference>
          <reference field="1" count="1" selected="0">
            <x v="9"/>
          </reference>
          <reference field="5" count="1" selected="0">
            <x v="1"/>
          </reference>
          <reference field="7" count="1">
            <x v="1"/>
          </reference>
        </references>
      </pivotArea>
    </format>
    <format dxfId="20525">
      <pivotArea dataOnly="0" labelOnly="1" outline="0" fieldPosition="0">
        <references count="4">
          <reference field="0" count="1" selected="0">
            <x v="10"/>
          </reference>
          <reference field="1" count="1" selected="0">
            <x v="10"/>
          </reference>
          <reference field="5" count="1" selected="0">
            <x v="0"/>
          </reference>
          <reference field="7" count="1">
            <x v="0"/>
          </reference>
        </references>
      </pivotArea>
    </format>
    <format dxfId="20526">
      <pivotArea dataOnly="0" labelOnly="1" outline="0" fieldPosition="0">
        <references count="4">
          <reference field="0" count="1" selected="0">
            <x v="11"/>
          </reference>
          <reference field="1" count="1" selected="0">
            <x v="11"/>
          </reference>
          <reference field="5" count="1" selected="0">
            <x v="1"/>
          </reference>
          <reference field="7" count="1">
            <x v="1"/>
          </reference>
        </references>
      </pivotArea>
    </format>
    <format dxfId="20527">
      <pivotArea dataOnly="0" labelOnly="1" outline="0" fieldPosition="0">
        <references count="4">
          <reference field="0" count="1" selected="0">
            <x v="12"/>
          </reference>
          <reference field="1" count="1" selected="0">
            <x v="0"/>
          </reference>
          <reference field="5" count="1" selected="0">
            <x v="0"/>
          </reference>
          <reference field="7" count="1">
            <x v="0"/>
          </reference>
        </references>
      </pivotArea>
    </format>
    <format dxfId="20528">
      <pivotArea dataOnly="0" labelOnly="1" outline="0" fieldPosition="0">
        <references count="4">
          <reference field="0" count="1" selected="0">
            <x v="13"/>
          </reference>
          <reference field="1" count="1" selected="0">
            <x v="1"/>
          </reference>
          <reference field="5" count="1" selected="0">
            <x v="1"/>
          </reference>
          <reference field="7" count="1">
            <x v="1"/>
          </reference>
        </references>
      </pivotArea>
    </format>
    <format dxfId="20529">
      <pivotArea dataOnly="0" labelOnly="1" outline="0" fieldPosition="0">
        <references count="4">
          <reference field="0" count="1" selected="0">
            <x v="14"/>
          </reference>
          <reference field="1" count="1" selected="0">
            <x v="2"/>
          </reference>
          <reference field="5" count="1" selected="0">
            <x v="0"/>
          </reference>
          <reference field="7" count="1">
            <x v="0"/>
          </reference>
        </references>
      </pivotArea>
    </format>
    <format dxfId="20530">
      <pivotArea dataOnly="0" labelOnly="1" outline="0" fieldPosition="0">
        <references count="4">
          <reference field="0" count="1" selected="0">
            <x v="15"/>
          </reference>
          <reference field="1" count="1" selected="0">
            <x v="2"/>
          </reference>
          <reference field="5" count="1" selected="0">
            <x v="1"/>
          </reference>
          <reference field="7" count="1">
            <x v="1"/>
          </reference>
        </references>
      </pivotArea>
    </format>
    <format dxfId="20531">
      <pivotArea dataOnly="0" labelOnly="1" outline="0" fieldPosition="0">
        <references count="4">
          <reference field="0" count="1" selected="0">
            <x v="16"/>
          </reference>
          <reference field="1" count="1" selected="0">
            <x v="2"/>
          </reference>
          <reference field="5" count="1" selected="0">
            <x v="0"/>
          </reference>
          <reference field="7" count="1">
            <x v="0"/>
          </reference>
        </references>
      </pivotArea>
    </format>
    <format dxfId="20532">
      <pivotArea dataOnly="0" labelOnly="1" outline="0" fieldPosition="0">
        <references count="4">
          <reference field="0" count="1" selected="0">
            <x v="17"/>
          </reference>
          <reference field="1" count="1" selected="0">
            <x v="5"/>
          </reference>
          <reference field="5" count="1" selected="0">
            <x v="1"/>
          </reference>
          <reference field="7" count="1">
            <x v="1"/>
          </reference>
        </references>
      </pivotArea>
    </format>
    <format dxfId="20533">
      <pivotArea dataOnly="0" labelOnly="1" outline="0" fieldPosition="0">
        <references count="4">
          <reference field="0" count="1" selected="0">
            <x v="18"/>
          </reference>
          <reference field="1" count="1" selected="0">
            <x v="6"/>
          </reference>
          <reference field="5" count="1" selected="0">
            <x v="0"/>
          </reference>
          <reference field="7" count="1">
            <x v="0"/>
          </reference>
        </references>
      </pivotArea>
    </format>
    <format dxfId="20534">
      <pivotArea dataOnly="0" labelOnly="1" outline="0" fieldPosition="0">
        <references count="4">
          <reference field="0" count="1" selected="0">
            <x v="19"/>
          </reference>
          <reference field="1" count="1" selected="0">
            <x v="7"/>
          </reference>
          <reference field="5" count="1" selected="0">
            <x v="1"/>
          </reference>
          <reference field="7" count="1">
            <x v="1"/>
          </reference>
        </references>
      </pivotArea>
    </format>
    <format dxfId="20535">
      <pivotArea dataOnly="0" labelOnly="1" outline="0" fieldPosition="0">
        <references count="4">
          <reference field="0" count="1" selected="0">
            <x v="20"/>
          </reference>
          <reference field="1" count="1" selected="0">
            <x v="7"/>
          </reference>
          <reference field="5" count="1" selected="0">
            <x v="0"/>
          </reference>
          <reference field="7" count="1">
            <x v="0"/>
          </reference>
        </references>
      </pivotArea>
    </format>
    <format dxfId="20536">
      <pivotArea dataOnly="0" labelOnly="1" outline="0" fieldPosition="0">
        <references count="4">
          <reference field="0" count="1" selected="0">
            <x v="21"/>
          </reference>
          <reference field="1" count="1" selected="0">
            <x v="9"/>
          </reference>
          <reference field="5" count="1" selected="0">
            <x v="1"/>
          </reference>
          <reference field="7" count="1">
            <x v="1"/>
          </reference>
        </references>
      </pivotArea>
    </format>
    <format dxfId="20537">
      <pivotArea dataOnly="0" labelOnly="1" outline="0" fieldPosition="0">
        <references count="4">
          <reference field="0" count="1" selected="0">
            <x v="22"/>
          </reference>
          <reference field="1" count="1" selected="0">
            <x v="9"/>
          </reference>
          <reference field="5" count="1" selected="0">
            <x v="0"/>
          </reference>
          <reference field="7" count="1">
            <x v="0"/>
          </reference>
        </references>
      </pivotArea>
    </format>
    <format dxfId="20538">
      <pivotArea dataOnly="0" labelOnly="1" outline="0" fieldPosition="0">
        <references count="4">
          <reference field="0" count="1" selected="0">
            <x v="23"/>
          </reference>
          <reference field="1" count="1" selected="0">
            <x v="9"/>
          </reference>
          <reference field="5" count="1" selected="0">
            <x v="1"/>
          </reference>
          <reference field="7" count="1">
            <x v="1"/>
          </reference>
        </references>
      </pivotArea>
    </format>
    <format dxfId="20539">
      <pivotArea dataOnly="0" labelOnly="1" outline="0" fieldPosition="0">
        <references count="5">
          <reference field="0" count="1" selected="0">
            <x v="0"/>
          </reference>
          <reference field="1" count="1" selected="0">
            <x v="0"/>
          </reference>
          <reference field="5" count="1" selected="0">
            <x v="0"/>
          </reference>
          <reference field="7" count="1" selected="0">
            <x v="0"/>
          </reference>
          <reference field="11" count="1">
            <x v="8"/>
          </reference>
        </references>
      </pivotArea>
    </format>
    <format dxfId="20540">
      <pivotArea dataOnly="0" labelOnly="1" outline="0" fieldPosition="0">
        <references count="5">
          <reference field="0" count="1" selected="0">
            <x v="1"/>
          </reference>
          <reference field="1" count="1" selected="0">
            <x v="1"/>
          </reference>
          <reference field="5" count="1" selected="0">
            <x v="1"/>
          </reference>
          <reference field="7" count="1" selected="0">
            <x v="1"/>
          </reference>
          <reference field="11" count="1">
            <x v="4"/>
          </reference>
        </references>
      </pivotArea>
    </format>
    <format dxfId="20541">
      <pivotArea dataOnly="0" labelOnly="1" outline="0" fieldPosition="0">
        <references count="5">
          <reference field="0" count="1" selected="0">
            <x v="2"/>
          </reference>
          <reference field="1" count="1" selected="0">
            <x v="2"/>
          </reference>
          <reference field="5" count="1" selected="0">
            <x v="0"/>
          </reference>
          <reference field="7" count="1" selected="0">
            <x v="0"/>
          </reference>
          <reference field="11" count="1">
            <x v="2"/>
          </reference>
        </references>
      </pivotArea>
    </format>
    <format dxfId="20542">
      <pivotArea dataOnly="0" labelOnly="1" outline="0" fieldPosition="0">
        <references count="5">
          <reference field="0" count="1" selected="0">
            <x v="3"/>
          </reference>
          <reference field="1" count="1" selected="0">
            <x v="3"/>
          </reference>
          <reference field="5" count="1" selected="0">
            <x v="1"/>
          </reference>
          <reference field="7" count="1" selected="0">
            <x v="1"/>
          </reference>
          <reference field="11" count="1">
            <x v="6"/>
          </reference>
        </references>
      </pivotArea>
    </format>
    <format dxfId="20543">
      <pivotArea dataOnly="0" labelOnly="1" outline="0" fieldPosition="0">
        <references count="5">
          <reference field="0" count="1" selected="0">
            <x v="4"/>
          </reference>
          <reference field="1" count="1" selected="0">
            <x v="4"/>
          </reference>
          <reference field="5" count="1" selected="0">
            <x v="0"/>
          </reference>
          <reference field="7" count="1" selected="0">
            <x v="0"/>
          </reference>
          <reference field="11" count="1">
            <x v="7"/>
          </reference>
        </references>
      </pivotArea>
    </format>
    <format dxfId="20544">
      <pivotArea dataOnly="0" labelOnly="1" outline="0" fieldPosition="0">
        <references count="5">
          <reference field="0" count="1" selected="0">
            <x v="5"/>
          </reference>
          <reference field="1" count="1" selected="0">
            <x v="5"/>
          </reference>
          <reference field="5" count="1" selected="0">
            <x v="1"/>
          </reference>
          <reference field="7" count="1" selected="0">
            <x v="1"/>
          </reference>
          <reference field="11" count="1">
            <x v="1"/>
          </reference>
        </references>
      </pivotArea>
    </format>
    <format dxfId="20545">
      <pivotArea dataOnly="0" labelOnly="1" outline="0" fieldPosition="0">
        <references count="5">
          <reference field="0" count="1" selected="0">
            <x v="6"/>
          </reference>
          <reference field="1" count="1" selected="0">
            <x v="6"/>
          </reference>
          <reference field="5" count="1" selected="0">
            <x v="0"/>
          </reference>
          <reference field="7" count="1" selected="0">
            <x v="0"/>
          </reference>
          <reference field="11" count="1">
            <x v="3"/>
          </reference>
        </references>
      </pivotArea>
    </format>
    <format dxfId="20546">
      <pivotArea dataOnly="0" labelOnly="1" outline="0" fieldPosition="0">
        <references count="5">
          <reference field="0" count="1" selected="0">
            <x v="7"/>
          </reference>
          <reference field="1" count="1" selected="0">
            <x v="7"/>
          </reference>
          <reference field="5" count="1" selected="0">
            <x v="1"/>
          </reference>
          <reference field="7" count="1" selected="0">
            <x v="1"/>
          </reference>
          <reference field="11" count="1">
            <x v="2"/>
          </reference>
        </references>
      </pivotArea>
    </format>
    <format dxfId="20547">
      <pivotArea dataOnly="0" labelOnly="1" outline="0" fieldPosition="0">
        <references count="5">
          <reference field="0" count="1" selected="0">
            <x v="8"/>
          </reference>
          <reference field="1" count="1" selected="0">
            <x v="8"/>
          </reference>
          <reference field="5" count="1" selected="0">
            <x v="0"/>
          </reference>
          <reference field="7" count="1" selected="0">
            <x v="0"/>
          </reference>
          <reference field="11" count="1">
            <x v="6"/>
          </reference>
        </references>
      </pivotArea>
    </format>
    <format dxfId="20548">
      <pivotArea dataOnly="0" labelOnly="1" outline="0" fieldPosition="0">
        <references count="5">
          <reference field="0" count="1" selected="0">
            <x v="9"/>
          </reference>
          <reference field="1" count="1" selected="0">
            <x v="9"/>
          </reference>
          <reference field="5" count="1" selected="0">
            <x v="1"/>
          </reference>
          <reference field="7" count="1" selected="0">
            <x v="1"/>
          </reference>
          <reference field="11" count="1">
            <x v="0"/>
          </reference>
        </references>
      </pivotArea>
    </format>
    <format dxfId="20549">
      <pivotArea dataOnly="0" labelOnly="1" outline="0" fieldPosition="0">
        <references count="5">
          <reference field="0" count="1" selected="0">
            <x v="10"/>
          </reference>
          <reference field="1" count="1" selected="0">
            <x v="10"/>
          </reference>
          <reference field="5" count="1" selected="0">
            <x v="0"/>
          </reference>
          <reference field="7" count="1" selected="0">
            <x v="0"/>
          </reference>
          <reference field="11" count="1">
            <x v="8"/>
          </reference>
        </references>
      </pivotArea>
    </format>
    <format dxfId="20550">
      <pivotArea dataOnly="0" labelOnly="1" outline="0" fieldPosition="0">
        <references count="5">
          <reference field="0" count="1" selected="0">
            <x v="11"/>
          </reference>
          <reference field="1" count="1" selected="0">
            <x v="11"/>
          </reference>
          <reference field="5" count="1" selected="0">
            <x v="1"/>
          </reference>
          <reference field="7" count="1" selected="0">
            <x v="1"/>
          </reference>
          <reference field="11" count="1">
            <x v="5"/>
          </reference>
        </references>
      </pivotArea>
    </format>
    <format dxfId="20551">
      <pivotArea dataOnly="0" labelOnly="1" outline="0" fieldPosition="0">
        <references count="5">
          <reference field="0" count="1" selected="0">
            <x v="12"/>
          </reference>
          <reference field="1" count="1" selected="0">
            <x v="0"/>
          </reference>
          <reference field="5" count="1" selected="0">
            <x v="0"/>
          </reference>
          <reference field="7" count="1" selected="0">
            <x v="0"/>
          </reference>
          <reference field="11" count="1">
            <x v="8"/>
          </reference>
        </references>
      </pivotArea>
    </format>
    <format dxfId="20552">
      <pivotArea dataOnly="0" labelOnly="1" outline="0" fieldPosition="0">
        <references count="5">
          <reference field="0" count="1" selected="0">
            <x v="13"/>
          </reference>
          <reference field="1" count="1" selected="0">
            <x v="1"/>
          </reference>
          <reference field="5" count="1" selected="0">
            <x v="1"/>
          </reference>
          <reference field="7" count="1" selected="0">
            <x v="1"/>
          </reference>
          <reference field="11" count="1">
            <x v="4"/>
          </reference>
        </references>
      </pivotArea>
    </format>
    <format dxfId="20553">
      <pivotArea dataOnly="0" labelOnly="1" outline="0" fieldPosition="0">
        <references count="5">
          <reference field="0" count="1" selected="0">
            <x v="14"/>
          </reference>
          <reference field="1" count="1" selected="0">
            <x v="2"/>
          </reference>
          <reference field="5" count="1" selected="0">
            <x v="0"/>
          </reference>
          <reference field="7" count="1" selected="0">
            <x v="0"/>
          </reference>
          <reference field="11" count="1">
            <x v="2"/>
          </reference>
        </references>
      </pivotArea>
    </format>
    <format dxfId="20554">
      <pivotArea dataOnly="0" labelOnly="1" outline="0" fieldPosition="0">
        <references count="5">
          <reference field="0" count="1" selected="0">
            <x v="15"/>
          </reference>
          <reference field="1" count="1" selected="0">
            <x v="2"/>
          </reference>
          <reference field="5" count="1" selected="0">
            <x v="1"/>
          </reference>
          <reference field="7" count="1" selected="0">
            <x v="1"/>
          </reference>
          <reference field="11" count="1">
            <x v="6"/>
          </reference>
        </references>
      </pivotArea>
    </format>
    <format dxfId="20555">
      <pivotArea dataOnly="0" labelOnly="1" outline="0" fieldPosition="0">
        <references count="5">
          <reference field="0" count="1" selected="0">
            <x v="16"/>
          </reference>
          <reference field="1" count="1" selected="0">
            <x v="2"/>
          </reference>
          <reference field="5" count="1" selected="0">
            <x v="0"/>
          </reference>
          <reference field="7" count="1" selected="0">
            <x v="0"/>
          </reference>
          <reference field="11" count="1">
            <x v="7"/>
          </reference>
        </references>
      </pivotArea>
    </format>
    <format dxfId="20556">
      <pivotArea dataOnly="0" labelOnly="1" outline="0" fieldPosition="0">
        <references count="5">
          <reference field="0" count="1" selected="0">
            <x v="17"/>
          </reference>
          <reference field="1" count="1" selected="0">
            <x v="5"/>
          </reference>
          <reference field="5" count="1" selected="0">
            <x v="1"/>
          </reference>
          <reference field="7" count="1" selected="0">
            <x v="1"/>
          </reference>
          <reference field="11" count="1">
            <x v="1"/>
          </reference>
        </references>
      </pivotArea>
    </format>
    <format dxfId="20557">
      <pivotArea dataOnly="0" labelOnly="1" outline="0" fieldPosition="0">
        <references count="5">
          <reference field="0" count="1" selected="0">
            <x v="18"/>
          </reference>
          <reference field="1" count="1" selected="0">
            <x v="6"/>
          </reference>
          <reference field="5" count="1" selected="0">
            <x v="0"/>
          </reference>
          <reference field="7" count="1" selected="0">
            <x v="0"/>
          </reference>
          <reference field="11" count="1">
            <x v="3"/>
          </reference>
        </references>
      </pivotArea>
    </format>
    <format dxfId="20558">
      <pivotArea dataOnly="0" labelOnly="1" outline="0" fieldPosition="0">
        <references count="5">
          <reference field="0" count="1" selected="0">
            <x v="19"/>
          </reference>
          <reference field="1" count="1" selected="0">
            <x v="7"/>
          </reference>
          <reference field="5" count="1" selected="0">
            <x v="1"/>
          </reference>
          <reference field="7" count="1" selected="0">
            <x v="1"/>
          </reference>
          <reference field="11" count="1">
            <x v="2"/>
          </reference>
        </references>
      </pivotArea>
    </format>
    <format dxfId="20559">
      <pivotArea dataOnly="0" labelOnly="1" outline="0" fieldPosition="0">
        <references count="5">
          <reference field="0" count="1" selected="0">
            <x v="20"/>
          </reference>
          <reference field="1" count="1" selected="0">
            <x v="7"/>
          </reference>
          <reference field="5" count="1" selected="0">
            <x v="0"/>
          </reference>
          <reference field="7" count="1" selected="0">
            <x v="0"/>
          </reference>
          <reference field="11" count="1">
            <x v="6"/>
          </reference>
        </references>
      </pivotArea>
    </format>
    <format dxfId="20560">
      <pivotArea dataOnly="0" labelOnly="1" outline="0" fieldPosition="0">
        <references count="5">
          <reference field="0" count="1" selected="0">
            <x v="21"/>
          </reference>
          <reference field="1" count="1" selected="0">
            <x v="9"/>
          </reference>
          <reference field="5" count="1" selected="0">
            <x v="1"/>
          </reference>
          <reference field="7" count="1" selected="0">
            <x v="1"/>
          </reference>
          <reference field="11" count="1">
            <x v="0"/>
          </reference>
        </references>
      </pivotArea>
    </format>
    <format dxfId="20561">
      <pivotArea dataOnly="0" labelOnly="1" outline="0" fieldPosition="0">
        <references count="5">
          <reference field="0" count="1" selected="0">
            <x v="22"/>
          </reference>
          <reference field="1" count="1" selected="0">
            <x v="9"/>
          </reference>
          <reference field="5" count="1" selected="0">
            <x v="0"/>
          </reference>
          <reference field="7" count="1" selected="0">
            <x v="0"/>
          </reference>
          <reference field="11" count="1">
            <x v="8"/>
          </reference>
        </references>
      </pivotArea>
    </format>
    <format dxfId="20562">
      <pivotArea dataOnly="0" labelOnly="1" outline="0" fieldPosition="0">
        <references count="5">
          <reference field="0" count="1" selected="0">
            <x v="23"/>
          </reference>
          <reference field="1" count="1" selected="0">
            <x v="9"/>
          </reference>
          <reference field="5" count="1" selected="0">
            <x v="1"/>
          </reference>
          <reference field="7" count="1" selected="0">
            <x v="1"/>
          </reference>
          <reference field="11" count="1">
            <x v="5"/>
          </reference>
        </references>
      </pivotArea>
    </format>
    <format dxfId="20563">
      <pivotArea dataOnly="0" labelOnly="1" outline="0" fieldPosition="0">
        <references count="6">
          <reference field="0" count="1" selected="0">
            <x v="0"/>
          </reference>
          <reference field="1" count="1" selected="0">
            <x v="0"/>
          </reference>
          <reference field="5" count="1" selected="0">
            <x v="0"/>
          </reference>
          <reference field="7" count="1" selected="0">
            <x v="0"/>
          </reference>
          <reference field="11" count="1" selected="0">
            <x v="8"/>
          </reference>
          <reference field="12" count="1">
            <x v="0"/>
          </reference>
        </references>
      </pivotArea>
    </format>
    <format dxfId="20564">
      <pivotArea dataOnly="0" labelOnly="1" outline="0" fieldPosition="0">
        <references count="6">
          <reference field="0" count="1" selected="0">
            <x v="1"/>
          </reference>
          <reference field="1" count="1" selected="0">
            <x v="1"/>
          </reference>
          <reference field="5" count="1" selected="0">
            <x v="1"/>
          </reference>
          <reference field="7" count="1" selected="0">
            <x v="1"/>
          </reference>
          <reference field="11" count="1" selected="0">
            <x v="4"/>
          </reference>
          <reference field="12" count="1">
            <x v="2"/>
          </reference>
        </references>
      </pivotArea>
    </format>
    <format dxfId="20565">
      <pivotArea dataOnly="0" labelOnly="1" outline="0" fieldPosition="0">
        <references count="6">
          <reference field="0" count="1" selected="0">
            <x v="2"/>
          </reference>
          <reference field="1" count="1" selected="0">
            <x v="2"/>
          </reference>
          <reference field="5" count="1" selected="0">
            <x v="0"/>
          </reference>
          <reference field="7" count="1" selected="0">
            <x v="0"/>
          </reference>
          <reference field="11" count="1" selected="0">
            <x v="2"/>
          </reference>
          <reference field="12" count="1">
            <x v="3"/>
          </reference>
        </references>
      </pivotArea>
    </format>
    <format dxfId="20566">
      <pivotArea dataOnly="0" labelOnly="1" outline="0" fieldPosition="0">
        <references count="6">
          <reference field="0" count="1" selected="0">
            <x v="3"/>
          </reference>
          <reference field="1" count="1" selected="0">
            <x v="3"/>
          </reference>
          <reference field="5" count="1" selected="0">
            <x v="1"/>
          </reference>
          <reference field="7" count="1" selected="0">
            <x v="1"/>
          </reference>
          <reference field="11" count="1" selected="0">
            <x v="6"/>
          </reference>
          <reference field="12" count="1">
            <x v="5"/>
          </reference>
        </references>
      </pivotArea>
    </format>
    <format dxfId="20567">
      <pivotArea dataOnly="0" labelOnly="1" outline="0" fieldPosition="0">
        <references count="6">
          <reference field="0" count="1" selected="0">
            <x v="5"/>
          </reference>
          <reference field="1" count="1" selected="0">
            <x v="5"/>
          </reference>
          <reference field="5" count="1" selected="0">
            <x v="1"/>
          </reference>
          <reference field="7" count="1" selected="0">
            <x v="1"/>
          </reference>
          <reference field="11" count="1" selected="0">
            <x v="1"/>
          </reference>
          <reference field="12" count="1">
            <x v="4"/>
          </reference>
        </references>
      </pivotArea>
    </format>
    <format dxfId="20568">
      <pivotArea dataOnly="0" labelOnly="1" outline="0" fieldPosition="0">
        <references count="6">
          <reference field="0" count="1" selected="0">
            <x v="6"/>
          </reference>
          <reference field="1" count="1" selected="0">
            <x v="6"/>
          </reference>
          <reference field="5" count="1" selected="0">
            <x v="0"/>
          </reference>
          <reference field="7" count="1" selected="0">
            <x v="0"/>
          </reference>
          <reference field="11" count="1" selected="0">
            <x v="3"/>
          </reference>
          <reference field="12" count="1">
            <x v="5"/>
          </reference>
        </references>
      </pivotArea>
    </format>
    <format dxfId="20569">
      <pivotArea dataOnly="0" labelOnly="1" outline="0" fieldPosition="0">
        <references count="6">
          <reference field="0" count="1" selected="0">
            <x v="7"/>
          </reference>
          <reference field="1" count="1" selected="0">
            <x v="7"/>
          </reference>
          <reference field="5" count="1" selected="0">
            <x v="1"/>
          </reference>
          <reference field="7" count="1" selected="0">
            <x v="1"/>
          </reference>
          <reference field="11" count="1" selected="0">
            <x v="2"/>
          </reference>
          <reference field="12" count="1">
            <x v="2"/>
          </reference>
        </references>
      </pivotArea>
    </format>
    <format dxfId="20570">
      <pivotArea dataOnly="0" labelOnly="1" outline="0" fieldPosition="0">
        <references count="6">
          <reference field="0" count="1" selected="0">
            <x v="8"/>
          </reference>
          <reference field="1" count="1" selected="0">
            <x v="8"/>
          </reference>
          <reference field="5" count="1" selected="0">
            <x v="0"/>
          </reference>
          <reference field="7" count="1" selected="0">
            <x v="0"/>
          </reference>
          <reference field="11" count="1" selected="0">
            <x v="6"/>
          </reference>
          <reference field="12" count="1">
            <x v="1"/>
          </reference>
        </references>
      </pivotArea>
    </format>
    <format dxfId="20571">
      <pivotArea dataOnly="0" labelOnly="1" outline="0" fieldPosition="0">
        <references count="6">
          <reference field="0" count="1" selected="0">
            <x v="9"/>
          </reference>
          <reference field="1" count="1" selected="0">
            <x v="9"/>
          </reference>
          <reference field="5" count="1" selected="0">
            <x v="1"/>
          </reference>
          <reference field="7" count="1" selected="0">
            <x v="1"/>
          </reference>
          <reference field="11" count="1" selected="0">
            <x v="0"/>
          </reference>
          <reference field="12" count="1">
            <x v="5"/>
          </reference>
        </references>
      </pivotArea>
    </format>
    <format dxfId="20572">
      <pivotArea dataOnly="0" labelOnly="1" outline="0" fieldPosition="0">
        <references count="6">
          <reference field="0" count="1" selected="0">
            <x v="10"/>
          </reference>
          <reference field="1" count="1" selected="0">
            <x v="10"/>
          </reference>
          <reference field="5" count="1" selected="0">
            <x v="0"/>
          </reference>
          <reference field="7" count="1" selected="0">
            <x v="0"/>
          </reference>
          <reference field="11" count="1" selected="0">
            <x v="8"/>
          </reference>
          <reference field="12" count="1">
            <x v="0"/>
          </reference>
        </references>
      </pivotArea>
    </format>
    <format dxfId="20573">
      <pivotArea dataOnly="0" labelOnly="1" outline="0" fieldPosition="0">
        <references count="6">
          <reference field="0" count="1" selected="0">
            <x v="11"/>
          </reference>
          <reference field="1" count="1" selected="0">
            <x v="11"/>
          </reference>
          <reference field="5" count="1" selected="0">
            <x v="1"/>
          </reference>
          <reference field="7" count="1" selected="0">
            <x v="1"/>
          </reference>
          <reference field="11" count="1" selected="0">
            <x v="5"/>
          </reference>
          <reference field="12" count="1">
            <x v="2"/>
          </reference>
        </references>
      </pivotArea>
    </format>
    <format dxfId="20574">
      <pivotArea dataOnly="0" labelOnly="1" outline="0" fieldPosition="0">
        <references count="6">
          <reference field="0" count="1" selected="0">
            <x v="12"/>
          </reference>
          <reference field="1" count="1" selected="0">
            <x v="0"/>
          </reference>
          <reference field="5" count="1" selected="0">
            <x v="0"/>
          </reference>
          <reference field="7" count="1" selected="0">
            <x v="0"/>
          </reference>
          <reference field="11" count="1" selected="0">
            <x v="8"/>
          </reference>
          <reference field="12" count="1">
            <x v="0"/>
          </reference>
        </references>
      </pivotArea>
    </format>
    <format dxfId="20575">
      <pivotArea dataOnly="0" labelOnly="1" outline="0" fieldPosition="0">
        <references count="6">
          <reference field="0" count="1" selected="0">
            <x v="13"/>
          </reference>
          <reference field="1" count="1" selected="0">
            <x v="1"/>
          </reference>
          <reference field="5" count="1" selected="0">
            <x v="1"/>
          </reference>
          <reference field="7" count="1" selected="0">
            <x v="1"/>
          </reference>
          <reference field="11" count="1" selected="0">
            <x v="4"/>
          </reference>
          <reference field="12" count="1">
            <x v="2"/>
          </reference>
        </references>
      </pivotArea>
    </format>
    <format dxfId="20576">
      <pivotArea dataOnly="0" labelOnly="1" outline="0" fieldPosition="0">
        <references count="6">
          <reference field="0" count="1" selected="0">
            <x v="14"/>
          </reference>
          <reference field="1" count="1" selected="0">
            <x v="2"/>
          </reference>
          <reference field="5" count="1" selected="0">
            <x v="0"/>
          </reference>
          <reference field="7" count="1" selected="0">
            <x v="0"/>
          </reference>
          <reference field="11" count="1" selected="0">
            <x v="2"/>
          </reference>
          <reference field="12" count="1">
            <x v="3"/>
          </reference>
        </references>
      </pivotArea>
    </format>
    <format dxfId="20577">
      <pivotArea dataOnly="0" labelOnly="1" outline="0" fieldPosition="0">
        <references count="6">
          <reference field="0" count="1" selected="0">
            <x v="15"/>
          </reference>
          <reference field="1" count="1" selected="0">
            <x v="2"/>
          </reference>
          <reference field="5" count="1" selected="0">
            <x v="1"/>
          </reference>
          <reference field="7" count="1" selected="0">
            <x v="1"/>
          </reference>
          <reference field="11" count="1" selected="0">
            <x v="6"/>
          </reference>
          <reference field="12" count="1">
            <x v="5"/>
          </reference>
        </references>
      </pivotArea>
    </format>
    <format dxfId="20578">
      <pivotArea dataOnly="0" labelOnly="1" outline="0" fieldPosition="0">
        <references count="6">
          <reference field="0" count="1" selected="0">
            <x v="17"/>
          </reference>
          <reference field="1" count="1" selected="0">
            <x v="5"/>
          </reference>
          <reference field="5" count="1" selected="0">
            <x v="1"/>
          </reference>
          <reference field="7" count="1" selected="0">
            <x v="1"/>
          </reference>
          <reference field="11" count="1" selected="0">
            <x v="1"/>
          </reference>
          <reference field="12" count="1">
            <x v="4"/>
          </reference>
        </references>
      </pivotArea>
    </format>
    <format dxfId="20579">
      <pivotArea dataOnly="0" labelOnly="1" outline="0" fieldPosition="0">
        <references count="6">
          <reference field="0" count="1" selected="0">
            <x v="18"/>
          </reference>
          <reference field="1" count="1" selected="0">
            <x v="6"/>
          </reference>
          <reference field="5" count="1" selected="0">
            <x v="0"/>
          </reference>
          <reference field="7" count="1" selected="0">
            <x v="0"/>
          </reference>
          <reference field="11" count="1" selected="0">
            <x v="3"/>
          </reference>
          <reference field="12" count="1">
            <x v="5"/>
          </reference>
        </references>
      </pivotArea>
    </format>
    <format dxfId="20580">
      <pivotArea dataOnly="0" labelOnly="1" outline="0" fieldPosition="0">
        <references count="6">
          <reference field="0" count="1" selected="0">
            <x v="19"/>
          </reference>
          <reference field="1" count="1" selected="0">
            <x v="7"/>
          </reference>
          <reference field="5" count="1" selected="0">
            <x v="1"/>
          </reference>
          <reference field="7" count="1" selected="0">
            <x v="1"/>
          </reference>
          <reference field="11" count="1" selected="0">
            <x v="2"/>
          </reference>
          <reference field="12" count="1">
            <x v="2"/>
          </reference>
        </references>
      </pivotArea>
    </format>
    <format dxfId="20581">
      <pivotArea dataOnly="0" labelOnly="1" outline="0" fieldPosition="0">
        <references count="6">
          <reference field="0" count="1" selected="0">
            <x v="20"/>
          </reference>
          <reference field="1" count="1" selected="0">
            <x v="7"/>
          </reference>
          <reference field="5" count="1" selected="0">
            <x v="0"/>
          </reference>
          <reference field="7" count="1" selected="0">
            <x v="0"/>
          </reference>
          <reference field="11" count="1" selected="0">
            <x v="6"/>
          </reference>
          <reference field="12" count="1">
            <x v="1"/>
          </reference>
        </references>
      </pivotArea>
    </format>
    <format dxfId="20582">
      <pivotArea dataOnly="0" labelOnly="1" outline="0" fieldPosition="0">
        <references count="6">
          <reference field="0" count="1" selected="0">
            <x v="21"/>
          </reference>
          <reference field="1" count="1" selected="0">
            <x v="9"/>
          </reference>
          <reference field="5" count="1" selected="0">
            <x v="1"/>
          </reference>
          <reference field="7" count="1" selected="0">
            <x v="1"/>
          </reference>
          <reference field="11" count="1" selected="0">
            <x v="0"/>
          </reference>
          <reference field="12" count="1">
            <x v="5"/>
          </reference>
        </references>
      </pivotArea>
    </format>
    <format dxfId="20583">
      <pivotArea dataOnly="0" labelOnly="1" outline="0" fieldPosition="0">
        <references count="6">
          <reference field="0" count="1" selected="0">
            <x v="22"/>
          </reference>
          <reference field="1" count="1" selected="0">
            <x v="9"/>
          </reference>
          <reference field="5" count="1" selected="0">
            <x v="0"/>
          </reference>
          <reference field="7" count="1" selected="0">
            <x v="0"/>
          </reference>
          <reference field="11" count="1" selected="0">
            <x v="8"/>
          </reference>
          <reference field="12" count="1">
            <x v="0"/>
          </reference>
        </references>
      </pivotArea>
    </format>
    <format dxfId="20584">
      <pivotArea dataOnly="0" labelOnly="1" outline="0" fieldPosition="0">
        <references count="6">
          <reference field="0" count="1" selected="0">
            <x v="23"/>
          </reference>
          <reference field="1" count="1" selected="0">
            <x v="9"/>
          </reference>
          <reference field="5" count="1" selected="0">
            <x v="1"/>
          </reference>
          <reference field="7" count="1" selected="0">
            <x v="1"/>
          </reference>
          <reference field="11" count="1" selected="0">
            <x v="5"/>
          </reference>
          <reference field="12" count="1">
            <x v="2"/>
          </reference>
        </references>
      </pivotArea>
    </format>
    <format dxfId="20585">
      <pivotArea dataOnly="0" labelOnly="1" outline="0" fieldPosition="0">
        <references count="7">
          <reference field="0" count="1" selected="0">
            <x v="0"/>
          </reference>
          <reference field="1" count="1" selected="0">
            <x v="0"/>
          </reference>
          <reference field="5" count="1" selected="0">
            <x v="0"/>
          </reference>
          <reference field="7" count="1" selected="0">
            <x v="0"/>
          </reference>
          <reference field="11" count="1" selected="0">
            <x v="8"/>
          </reference>
          <reference field="12" count="1" selected="0">
            <x v="0"/>
          </reference>
          <reference field="13" count="1">
            <x v="0"/>
          </reference>
        </references>
      </pivotArea>
    </format>
    <format dxfId="20586">
      <pivotArea dataOnly="0" labelOnly="1" outline="0" fieldPosition="0">
        <references count="7">
          <reference field="0" count="1" selected="0">
            <x v="1"/>
          </reference>
          <reference field="1" count="1" selected="0">
            <x v="1"/>
          </reference>
          <reference field="5" count="1" selected="0">
            <x v="1"/>
          </reference>
          <reference field="7" count="1" selected="0">
            <x v="1"/>
          </reference>
          <reference field="11" count="1" selected="0">
            <x v="4"/>
          </reference>
          <reference field="12" count="1" selected="0">
            <x v="2"/>
          </reference>
          <reference field="13" count="1">
            <x v="1"/>
          </reference>
        </references>
      </pivotArea>
    </format>
    <format dxfId="20587">
      <pivotArea dataOnly="0" labelOnly="1" outline="0" fieldPosition="0">
        <references count="7">
          <reference field="0" count="1" selected="0">
            <x v="2"/>
          </reference>
          <reference field="1" count="1" selected="0">
            <x v="2"/>
          </reference>
          <reference field="5" count="1" selected="0">
            <x v="0"/>
          </reference>
          <reference field="7" count="1" selected="0">
            <x v="0"/>
          </reference>
          <reference field="11" count="1" selected="0">
            <x v="2"/>
          </reference>
          <reference field="12" count="1" selected="0">
            <x v="3"/>
          </reference>
          <reference field="13" count="1">
            <x v="0"/>
          </reference>
        </references>
      </pivotArea>
    </format>
    <format dxfId="20588">
      <pivotArea dataOnly="0" labelOnly="1" outline="0" fieldPosition="0">
        <references count="7">
          <reference field="0" count="1" selected="0">
            <x v="3"/>
          </reference>
          <reference field="1" count="1" selected="0">
            <x v="3"/>
          </reference>
          <reference field="5" count="1" selected="0">
            <x v="1"/>
          </reference>
          <reference field="7" count="1" selected="0">
            <x v="1"/>
          </reference>
          <reference field="11" count="1" selected="0">
            <x v="6"/>
          </reference>
          <reference field="12" count="1" selected="0">
            <x v="5"/>
          </reference>
          <reference field="13" count="1">
            <x v="1"/>
          </reference>
        </references>
      </pivotArea>
    </format>
    <format dxfId="20589">
      <pivotArea dataOnly="0" labelOnly="1" outline="0" fieldPosition="0">
        <references count="7">
          <reference field="0" count="1" selected="0">
            <x v="4"/>
          </reference>
          <reference field="1" count="1" selected="0">
            <x v="4"/>
          </reference>
          <reference field="5" count="1" selected="0">
            <x v="0"/>
          </reference>
          <reference field="7" count="1" selected="0">
            <x v="0"/>
          </reference>
          <reference field="11" count="1" selected="0">
            <x v="7"/>
          </reference>
          <reference field="12" count="1" selected="0">
            <x v="5"/>
          </reference>
          <reference field="13" count="1">
            <x v="0"/>
          </reference>
        </references>
      </pivotArea>
    </format>
    <format dxfId="20590">
      <pivotArea dataOnly="0" labelOnly="1" outline="0" fieldPosition="0">
        <references count="7">
          <reference field="0" count="1" selected="0">
            <x v="5"/>
          </reference>
          <reference field="1" count="1" selected="0">
            <x v="5"/>
          </reference>
          <reference field="5" count="1" selected="0">
            <x v="1"/>
          </reference>
          <reference field="7" count="1" selected="0">
            <x v="1"/>
          </reference>
          <reference field="11" count="1" selected="0">
            <x v="1"/>
          </reference>
          <reference field="12" count="1" selected="0">
            <x v="4"/>
          </reference>
          <reference field="13" count="1">
            <x v="1"/>
          </reference>
        </references>
      </pivotArea>
    </format>
    <format dxfId="20591">
      <pivotArea dataOnly="0" labelOnly="1" outline="0" fieldPosition="0">
        <references count="7">
          <reference field="0" count="1" selected="0">
            <x v="6"/>
          </reference>
          <reference field="1" count="1" selected="0">
            <x v="6"/>
          </reference>
          <reference field="5" count="1" selected="0">
            <x v="0"/>
          </reference>
          <reference field="7" count="1" selected="0">
            <x v="0"/>
          </reference>
          <reference field="11" count="1" selected="0">
            <x v="3"/>
          </reference>
          <reference field="12" count="1" selected="0">
            <x v="5"/>
          </reference>
          <reference field="13" count="1">
            <x v="0"/>
          </reference>
        </references>
      </pivotArea>
    </format>
    <format dxfId="20592">
      <pivotArea dataOnly="0" labelOnly="1" outline="0" fieldPosition="0">
        <references count="7">
          <reference field="0" count="1" selected="0">
            <x v="7"/>
          </reference>
          <reference field="1" count="1" selected="0">
            <x v="7"/>
          </reference>
          <reference field="5" count="1" selected="0">
            <x v="1"/>
          </reference>
          <reference field="7" count="1" selected="0">
            <x v="1"/>
          </reference>
          <reference field="11" count="1" selected="0">
            <x v="2"/>
          </reference>
          <reference field="12" count="1" selected="0">
            <x v="2"/>
          </reference>
          <reference field="13" count="1">
            <x v="1"/>
          </reference>
        </references>
      </pivotArea>
    </format>
    <format dxfId="20593">
      <pivotArea dataOnly="0" labelOnly="1" outline="0" fieldPosition="0">
        <references count="7">
          <reference field="0" count="1" selected="0">
            <x v="8"/>
          </reference>
          <reference field="1" count="1" selected="0">
            <x v="8"/>
          </reference>
          <reference field="5" count="1" selected="0">
            <x v="0"/>
          </reference>
          <reference field="7" count="1" selected="0">
            <x v="0"/>
          </reference>
          <reference field="11" count="1" selected="0">
            <x v="6"/>
          </reference>
          <reference field="12" count="1" selected="0">
            <x v="1"/>
          </reference>
          <reference field="13" count="1">
            <x v="0"/>
          </reference>
        </references>
      </pivotArea>
    </format>
    <format dxfId="20594">
      <pivotArea dataOnly="0" labelOnly="1" outline="0" fieldPosition="0">
        <references count="7">
          <reference field="0" count="1" selected="0">
            <x v="9"/>
          </reference>
          <reference field="1" count="1" selected="0">
            <x v="9"/>
          </reference>
          <reference field="5" count="1" selected="0">
            <x v="1"/>
          </reference>
          <reference field="7" count="1" selected="0">
            <x v="1"/>
          </reference>
          <reference field="11" count="1" selected="0">
            <x v="0"/>
          </reference>
          <reference field="12" count="1" selected="0">
            <x v="5"/>
          </reference>
          <reference field="13" count="1">
            <x v="1"/>
          </reference>
        </references>
      </pivotArea>
    </format>
    <format dxfId="20595">
      <pivotArea dataOnly="0" labelOnly="1" outline="0" fieldPosition="0">
        <references count="7">
          <reference field="0" count="1" selected="0">
            <x v="10"/>
          </reference>
          <reference field="1" count="1" selected="0">
            <x v="10"/>
          </reference>
          <reference field="5" count="1" selected="0">
            <x v="0"/>
          </reference>
          <reference field="7" count="1" selected="0">
            <x v="0"/>
          </reference>
          <reference field="11" count="1" selected="0">
            <x v="8"/>
          </reference>
          <reference field="12" count="1" selected="0">
            <x v="0"/>
          </reference>
          <reference field="13" count="1">
            <x v="0"/>
          </reference>
        </references>
      </pivotArea>
    </format>
    <format dxfId="20596">
      <pivotArea dataOnly="0" labelOnly="1" outline="0" fieldPosition="0">
        <references count="7">
          <reference field="0" count="1" selected="0">
            <x v="11"/>
          </reference>
          <reference field="1" count="1" selected="0">
            <x v="11"/>
          </reference>
          <reference field="5" count="1" selected="0">
            <x v="1"/>
          </reference>
          <reference field="7" count="1" selected="0">
            <x v="1"/>
          </reference>
          <reference field="11" count="1" selected="0">
            <x v="5"/>
          </reference>
          <reference field="12" count="1" selected="0">
            <x v="2"/>
          </reference>
          <reference field="13" count="1">
            <x v="1"/>
          </reference>
        </references>
      </pivotArea>
    </format>
    <format dxfId="20597">
      <pivotArea dataOnly="0" labelOnly="1" outline="0" fieldPosition="0">
        <references count="7">
          <reference field="0" count="1" selected="0">
            <x v="12"/>
          </reference>
          <reference field="1" count="1" selected="0">
            <x v="0"/>
          </reference>
          <reference field="5" count="1" selected="0">
            <x v="0"/>
          </reference>
          <reference field="7" count="1" selected="0">
            <x v="0"/>
          </reference>
          <reference field="11" count="1" selected="0">
            <x v="8"/>
          </reference>
          <reference field="12" count="1" selected="0">
            <x v="0"/>
          </reference>
          <reference field="13" count="1">
            <x v="0"/>
          </reference>
        </references>
      </pivotArea>
    </format>
    <format dxfId="20598">
      <pivotArea dataOnly="0" labelOnly="1" outline="0" fieldPosition="0">
        <references count="7">
          <reference field="0" count="1" selected="0">
            <x v="13"/>
          </reference>
          <reference field="1" count="1" selected="0">
            <x v="1"/>
          </reference>
          <reference field="5" count="1" selected="0">
            <x v="1"/>
          </reference>
          <reference field="7" count="1" selected="0">
            <x v="1"/>
          </reference>
          <reference field="11" count="1" selected="0">
            <x v="4"/>
          </reference>
          <reference field="12" count="1" selected="0">
            <x v="2"/>
          </reference>
          <reference field="13" count="1">
            <x v="1"/>
          </reference>
        </references>
      </pivotArea>
    </format>
    <format dxfId="20599">
      <pivotArea dataOnly="0" labelOnly="1" outline="0" fieldPosition="0">
        <references count="7">
          <reference field="0" count="1" selected="0">
            <x v="14"/>
          </reference>
          <reference field="1" count="1" selected="0">
            <x v="2"/>
          </reference>
          <reference field="5" count="1" selected="0">
            <x v="0"/>
          </reference>
          <reference field="7" count="1" selected="0">
            <x v="0"/>
          </reference>
          <reference field="11" count="1" selected="0">
            <x v="2"/>
          </reference>
          <reference field="12" count="1" selected="0">
            <x v="3"/>
          </reference>
          <reference field="13" count="1">
            <x v="0"/>
          </reference>
        </references>
      </pivotArea>
    </format>
    <format dxfId="20600">
      <pivotArea dataOnly="0" labelOnly="1" outline="0" fieldPosition="0">
        <references count="7">
          <reference field="0" count="1" selected="0">
            <x v="15"/>
          </reference>
          <reference field="1" count="1" selected="0">
            <x v="2"/>
          </reference>
          <reference field="5" count="1" selected="0">
            <x v="1"/>
          </reference>
          <reference field="7" count="1" selected="0">
            <x v="1"/>
          </reference>
          <reference field="11" count="1" selected="0">
            <x v="6"/>
          </reference>
          <reference field="12" count="1" selected="0">
            <x v="5"/>
          </reference>
          <reference field="13" count="1">
            <x v="1"/>
          </reference>
        </references>
      </pivotArea>
    </format>
    <format dxfId="20601">
      <pivotArea dataOnly="0" labelOnly="1" outline="0" fieldPosition="0">
        <references count="7">
          <reference field="0" count="1" selected="0">
            <x v="16"/>
          </reference>
          <reference field="1" count="1" selected="0">
            <x v="2"/>
          </reference>
          <reference field="5" count="1" selected="0">
            <x v="0"/>
          </reference>
          <reference field="7" count="1" selected="0">
            <x v="0"/>
          </reference>
          <reference field="11" count="1" selected="0">
            <x v="7"/>
          </reference>
          <reference field="12" count="1" selected="0">
            <x v="5"/>
          </reference>
          <reference field="13" count="1">
            <x v="0"/>
          </reference>
        </references>
      </pivotArea>
    </format>
    <format dxfId="20602">
      <pivotArea dataOnly="0" labelOnly="1" outline="0" fieldPosition="0">
        <references count="7">
          <reference field="0" count="1" selected="0">
            <x v="17"/>
          </reference>
          <reference field="1" count="1" selected="0">
            <x v="5"/>
          </reference>
          <reference field="5" count="1" selected="0">
            <x v="1"/>
          </reference>
          <reference field="7" count="1" selected="0">
            <x v="1"/>
          </reference>
          <reference field="11" count="1" selected="0">
            <x v="1"/>
          </reference>
          <reference field="12" count="1" selected="0">
            <x v="4"/>
          </reference>
          <reference field="13" count="1">
            <x v="1"/>
          </reference>
        </references>
      </pivotArea>
    </format>
    <format dxfId="20603">
      <pivotArea dataOnly="0" labelOnly="1" outline="0" fieldPosition="0">
        <references count="7">
          <reference field="0" count="1" selected="0">
            <x v="18"/>
          </reference>
          <reference field="1" count="1" selected="0">
            <x v="6"/>
          </reference>
          <reference field="5" count="1" selected="0">
            <x v="0"/>
          </reference>
          <reference field="7" count="1" selected="0">
            <x v="0"/>
          </reference>
          <reference field="11" count="1" selected="0">
            <x v="3"/>
          </reference>
          <reference field="12" count="1" selected="0">
            <x v="5"/>
          </reference>
          <reference field="13" count="1">
            <x v="0"/>
          </reference>
        </references>
      </pivotArea>
    </format>
    <format dxfId="20604">
      <pivotArea dataOnly="0" labelOnly="1" outline="0" fieldPosition="0">
        <references count="7">
          <reference field="0" count="1" selected="0">
            <x v="19"/>
          </reference>
          <reference field="1" count="1" selected="0">
            <x v="7"/>
          </reference>
          <reference field="5" count="1" selected="0">
            <x v="1"/>
          </reference>
          <reference field="7" count="1" selected="0">
            <x v="1"/>
          </reference>
          <reference field="11" count="1" selected="0">
            <x v="2"/>
          </reference>
          <reference field="12" count="1" selected="0">
            <x v="2"/>
          </reference>
          <reference field="13" count="1">
            <x v="1"/>
          </reference>
        </references>
      </pivotArea>
    </format>
    <format dxfId="20605">
      <pivotArea dataOnly="0" labelOnly="1" outline="0" fieldPosition="0">
        <references count="7">
          <reference field="0" count="1" selected="0">
            <x v="20"/>
          </reference>
          <reference field="1" count="1" selected="0">
            <x v="7"/>
          </reference>
          <reference field="5" count="1" selected="0">
            <x v="0"/>
          </reference>
          <reference field="7" count="1" selected="0">
            <x v="0"/>
          </reference>
          <reference field="11" count="1" selected="0">
            <x v="6"/>
          </reference>
          <reference field="12" count="1" selected="0">
            <x v="1"/>
          </reference>
          <reference field="13" count="1">
            <x v="0"/>
          </reference>
        </references>
      </pivotArea>
    </format>
    <format dxfId="20606">
      <pivotArea dataOnly="0" labelOnly="1" outline="0" fieldPosition="0">
        <references count="7">
          <reference field="0" count="1" selected="0">
            <x v="21"/>
          </reference>
          <reference field="1" count="1" selected="0">
            <x v="9"/>
          </reference>
          <reference field="5" count="1" selected="0">
            <x v="1"/>
          </reference>
          <reference field="7" count="1" selected="0">
            <x v="1"/>
          </reference>
          <reference field="11" count="1" selected="0">
            <x v="0"/>
          </reference>
          <reference field="12" count="1" selected="0">
            <x v="5"/>
          </reference>
          <reference field="13" count="1">
            <x v="1"/>
          </reference>
        </references>
      </pivotArea>
    </format>
    <format dxfId="20607">
      <pivotArea dataOnly="0" labelOnly="1" outline="0" fieldPosition="0">
        <references count="7">
          <reference field="0" count="1" selected="0">
            <x v="22"/>
          </reference>
          <reference field="1" count="1" selected="0">
            <x v="9"/>
          </reference>
          <reference field="5" count="1" selected="0">
            <x v="0"/>
          </reference>
          <reference field="7" count="1" selected="0">
            <x v="0"/>
          </reference>
          <reference field="11" count="1" selected="0">
            <x v="8"/>
          </reference>
          <reference field="12" count="1" selected="0">
            <x v="0"/>
          </reference>
          <reference field="13" count="1">
            <x v="0"/>
          </reference>
        </references>
      </pivotArea>
    </format>
    <format dxfId="20608">
      <pivotArea dataOnly="0" labelOnly="1" outline="0" fieldPosition="0">
        <references count="7">
          <reference field="0" count="1" selected="0">
            <x v="23"/>
          </reference>
          <reference field="1" count="1" selected="0">
            <x v="9"/>
          </reference>
          <reference field="5" count="1" selected="0">
            <x v="1"/>
          </reference>
          <reference field="7" count="1" selected="0">
            <x v="1"/>
          </reference>
          <reference field="11" count="1" selected="0">
            <x v="5"/>
          </reference>
          <reference field="12" count="1" selected="0">
            <x v="2"/>
          </reference>
          <reference field="13"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15AC31-11F1-4968-A1C9-2635829BBABC}"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BD4:BK15" firstHeaderRow="1" firstDataRow="2" firstDataCol="1"/>
  <pivotFields count="27">
    <pivotField dataField="1" numFmtId="1" showAll="0" defaultSubtotal="0"/>
    <pivotField numFmtId="164" showAll="0" defaultSubtotal="0">
      <items count="12">
        <item x="0"/>
        <item x="1"/>
        <item x="2"/>
        <item x="3"/>
        <item x="4"/>
        <item x="5"/>
        <item x="6"/>
        <item x="7"/>
        <item x="8"/>
        <item x="9"/>
        <item x="10"/>
        <item x="11"/>
      </items>
    </pivotField>
    <pivotField showAll="0" defaultSubtotal="0"/>
    <pivotField showAll="0" defaultSubtotal="0">
      <items count="12">
        <item x="0"/>
        <item x="1"/>
        <item x="2"/>
        <item x="3"/>
        <item x="4"/>
        <item x="5"/>
        <item x="6"/>
        <item x="7"/>
        <item x="8"/>
        <item x="9"/>
        <item x="10"/>
        <item x="11"/>
      </items>
    </pivotField>
    <pivotField showAll="0" defaultSubtotal="0"/>
    <pivotField showAll="0" defaultSubtotal="0">
      <items count="2">
        <item x="0"/>
        <item x="1"/>
      </items>
    </pivotField>
    <pivotField showAll="0" defaultSubtotal="0">
      <items count="2">
        <item x="1"/>
        <item x="0"/>
      </items>
    </pivotField>
    <pivotField showAll="0" defaultSubtotal="0"/>
    <pivotField showAll="0" defaultSubtotal="0"/>
    <pivotField showAll="0" defaultSubtotal="0">
      <items count="3">
        <item x="0"/>
        <item x="1"/>
        <item x="2"/>
      </items>
    </pivotField>
    <pivotField showAll="0" defaultSubtotal="0">
      <items count="2">
        <item x="1"/>
        <item x="0"/>
      </items>
    </pivotField>
    <pivotField axis="axisRow" showAll="0" defaultSubtotal="0">
      <items count="9">
        <item x="7"/>
        <item x="5"/>
        <item x="2"/>
        <item x="6"/>
        <item x="1"/>
        <item x="8"/>
        <item x="3"/>
        <item x="4"/>
        <item x="0"/>
      </items>
    </pivotField>
    <pivotField axis="axisCol" showAll="0" defaultSubtotal="0">
      <items count="6">
        <item x="0"/>
        <item x="5"/>
        <item x="1"/>
        <item x="2"/>
        <item x="4"/>
        <item x="3"/>
      </items>
    </pivotField>
    <pivotField showAll="0" defaultSubtotal="0">
      <items count="2">
        <item x="0"/>
        <item x="1"/>
      </items>
    </pivotField>
    <pivotField numFmtId="166" showAll="0" defaultSubtotal="0"/>
    <pivotField numFmtId="166" showAll="0" defaultSubtotal="0"/>
    <pivotField showAll="0" defaultSubtotal="0"/>
    <pivotField showAll="0" defaultSubtotal="0"/>
    <pivotField numFmtId="1" showAll="0" defaultSubtotal="0"/>
    <pivotField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11"/>
  </rowFields>
  <rowItems count="10">
    <i>
      <x/>
    </i>
    <i>
      <x v="1"/>
    </i>
    <i>
      <x v="2"/>
    </i>
    <i>
      <x v="3"/>
    </i>
    <i>
      <x v="4"/>
    </i>
    <i>
      <x v="5"/>
    </i>
    <i>
      <x v="6"/>
    </i>
    <i>
      <x v="7"/>
    </i>
    <i>
      <x v="8"/>
    </i>
    <i t="grand">
      <x/>
    </i>
  </rowItems>
  <colFields count="1">
    <field x="12"/>
  </colFields>
  <colItems count="7">
    <i>
      <x/>
    </i>
    <i>
      <x v="1"/>
    </i>
    <i>
      <x v="2"/>
    </i>
    <i>
      <x v="3"/>
    </i>
    <i>
      <x v="4"/>
    </i>
    <i>
      <x v="5"/>
    </i>
    <i t="grand">
      <x/>
    </i>
  </colItems>
  <dataFields count="1">
    <dataField name="Count of N" fld="0" subtotal="count" baseField="11" baseItem="0"/>
  </dataFields>
  <formats count="12">
    <format dxfId="20339">
      <pivotArea type="all" dataOnly="0" outline="0" fieldPosition="0"/>
    </format>
    <format dxfId="20340">
      <pivotArea outline="0" collapsedLevelsAreSubtotals="1" fieldPosition="0"/>
    </format>
    <format dxfId="20341">
      <pivotArea dataOnly="0" labelOnly="1" outline="0" axis="axisValues" fieldPosition="0"/>
    </format>
    <format dxfId="20342">
      <pivotArea dataOnly="0" labelOnly="1" outline="0" axis="axisValues" fieldPosition="0"/>
    </format>
    <format dxfId="20343">
      <pivotArea type="all" dataOnly="0" outline="0" fieldPosition="0"/>
    </format>
    <format dxfId="20344">
      <pivotArea outline="0" collapsedLevelsAreSubtotals="1" fieldPosition="0"/>
    </format>
    <format dxfId="20345">
      <pivotArea dataOnly="0" labelOnly="1" outline="0" axis="axisValues" fieldPosition="0"/>
    </format>
    <format dxfId="20346">
      <pivotArea type="all" dataOnly="0" outline="0" fieldPosition="0"/>
    </format>
    <format dxfId="20347">
      <pivotArea field="9" type="button" dataOnly="0" labelOnly="1" outline="0"/>
    </format>
    <format dxfId="20348">
      <pivotArea dataOnly="0" labelOnly="1" grandRow="1" outline="0" fieldPosition="0"/>
    </format>
    <format dxfId="20349">
      <pivotArea outline="0" collapsedLevelsAreSubtotals="1" fieldPosition="0"/>
    </format>
    <format dxfId="20350">
      <pivotArea dataOnly="0" labelOnly="1" outline="0" axis="axisValues" fieldPosition="0"/>
    </format>
  </formats>
  <chartFormats count="6">
    <chartFormat chart="67" format="12" series="1">
      <pivotArea type="data" outline="0" fieldPosition="0">
        <references count="2">
          <reference field="4294967294" count="1" selected="0">
            <x v="0"/>
          </reference>
          <reference field="12" count="1" selected="0">
            <x v="0"/>
          </reference>
        </references>
      </pivotArea>
    </chartFormat>
    <chartFormat chart="67" format="13" series="1">
      <pivotArea type="data" outline="0" fieldPosition="0">
        <references count="2">
          <reference field="4294967294" count="1" selected="0">
            <x v="0"/>
          </reference>
          <reference field="12" count="1" selected="0">
            <x v="1"/>
          </reference>
        </references>
      </pivotArea>
    </chartFormat>
    <chartFormat chart="67" format="14" series="1">
      <pivotArea type="data" outline="0" fieldPosition="0">
        <references count="2">
          <reference field="4294967294" count="1" selected="0">
            <x v="0"/>
          </reference>
          <reference field="12" count="1" selected="0">
            <x v="2"/>
          </reference>
        </references>
      </pivotArea>
    </chartFormat>
    <chartFormat chart="67" format="15" series="1">
      <pivotArea type="data" outline="0" fieldPosition="0">
        <references count="2">
          <reference field="4294967294" count="1" selected="0">
            <x v="0"/>
          </reference>
          <reference field="12" count="1" selected="0">
            <x v="3"/>
          </reference>
        </references>
      </pivotArea>
    </chartFormat>
    <chartFormat chart="67" format="16" series="1">
      <pivotArea type="data" outline="0" fieldPosition="0">
        <references count="2">
          <reference field="4294967294" count="1" selected="0">
            <x v="0"/>
          </reference>
          <reference field="12" count="1" selected="0">
            <x v="4"/>
          </reference>
        </references>
      </pivotArea>
    </chartFormat>
    <chartFormat chart="67" format="17" series="1">
      <pivotArea type="data" outline="0" fieldPosition="0">
        <references count="2">
          <reference field="4294967294" count="1" selected="0">
            <x v="0"/>
          </reference>
          <reference field="12" count="1" selected="0">
            <x v="5"/>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6DD581-CAEA-46A5-8055-A087ADF01E41}"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BA4:BB17" firstHeaderRow="1" firstDataRow="1" firstDataCol="1"/>
  <pivotFields count="27">
    <pivotField dataField="1" numFmtId="1" showAll="0"/>
    <pivotField numFmtId="164" showAll="0">
      <items count="13">
        <item x="0"/>
        <item x="1"/>
        <item x="2"/>
        <item x="3"/>
        <item x="4"/>
        <item x="5"/>
        <item x="6"/>
        <item x="7"/>
        <item x="8"/>
        <item x="9"/>
        <item x="10"/>
        <item x="11"/>
        <item t="default"/>
      </items>
    </pivotField>
    <pivotField showAll="0"/>
    <pivotField axis="axisRow" showAll="0">
      <items count="13">
        <item x="0"/>
        <item x="1"/>
        <item x="2"/>
        <item x="3"/>
        <item x="4"/>
        <item x="5"/>
        <item x="6"/>
        <item x="7"/>
        <item x="8"/>
        <item x="9"/>
        <item x="10"/>
        <item x="11"/>
        <item t="default"/>
      </items>
    </pivotField>
    <pivotField showAll="0"/>
    <pivotField showAll="0">
      <items count="3">
        <item x="0"/>
        <item x="1"/>
        <item t="default"/>
      </items>
    </pivotField>
    <pivotField showAll="0">
      <items count="3">
        <item x="1"/>
        <item x="0"/>
        <item t="default"/>
      </items>
    </pivotField>
    <pivotField showAll="0"/>
    <pivotField showAll="0"/>
    <pivotField showAll="0">
      <items count="4">
        <item x="0"/>
        <item x="1"/>
        <item x="2"/>
        <item t="default"/>
      </items>
    </pivotField>
    <pivotField showAll="0">
      <items count="3">
        <item x="1"/>
        <item x="0"/>
        <item t="default"/>
      </items>
    </pivotField>
    <pivotField showAll="0"/>
    <pivotField showAll="0"/>
    <pivotField showAll="0">
      <items count="3">
        <item x="0"/>
        <item x="1"/>
        <item t="default"/>
      </items>
    </pivotField>
    <pivotField numFmtId="166" showAll="0"/>
    <pivotField numFmtId="166" showAll="0"/>
    <pivotField showAll="0"/>
    <pivotField showAll="0"/>
    <pivotField numFmtId="1"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Sum of N" fld="0" baseField="0" baseItem="0" numFmtId="1"/>
  </dataFields>
  <formats count="12">
    <format dxfId="20243">
      <pivotArea type="all" dataOnly="0" outline="0" fieldPosition="0"/>
    </format>
    <format dxfId="20244">
      <pivotArea outline="0" collapsedLevelsAreSubtotals="1" fieldPosition="0"/>
    </format>
    <format dxfId="20245">
      <pivotArea dataOnly="0" labelOnly="1" outline="0" axis="axisValues" fieldPosition="0"/>
    </format>
    <format dxfId="20246">
      <pivotArea dataOnly="0" labelOnly="1" outline="0" axis="axisValues" fieldPosition="0"/>
    </format>
    <format dxfId="20247">
      <pivotArea type="all" dataOnly="0" outline="0" fieldPosition="0"/>
    </format>
    <format dxfId="20248">
      <pivotArea outline="0" collapsedLevelsAreSubtotals="1" fieldPosition="0"/>
    </format>
    <format dxfId="20249">
      <pivotArea dataOnly="0" labelOnly="1" outline="0" axis="axisValues" fieldPosition="0"/>
    </format>
    <format dxfId="20250">
      <pivotArea type="all" dataOnly="0" outline="0" fieldPosition="0"/>
    </format>
    <format dxfId="20251">
      <pivotArea field="9" type="button" dataOnly="0" labelOnly="1" outline="0"/>
    </format>
    <format dxfId="20252">
      <pivotArea dataOnly="0" labelOnly="1" grandRow="1" outline="0" fieldPosition="0"/>
    </format>
    <format dxfId="20253">
      <pivotArea outline="0" collapsedLevelsAreSubtotals="1" fieldPosition="0"/>
    </format>
    <format dxfId="20254">
      <pivotArea dataOnly="0" labelOnly="1" outline="0" axis="axisValues" fieldPosition="0"/>
    </format>
  </formats>
  <chartFormats count="2">
    <chartFormat chart="57" format="5" series="1">
      <pivotArea type="data" outline="0" fieldPosition="0">
        <references count="1">
          <reference field="4294967294" count="1" selected="0">
            <x v="0"/>
          </reference>
        </references>
      </pivotArea>
    </chartFormat>
    <chartFormat chart="57" format="6">
      <pivotArea type="data" outline="0" fieldPosition="0">
        <references count="2">
          <reference field="4294967294" count="1" selected="0">
            <x v="0"/>
          </reference>
          <reference field="3"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BD90FF-8ABF-4DB1-97AA-EEE6B1AF989F}"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J4:AJ5" firstHeaderRow="1" firstDataRow="1" firstDataCol="0"/>
  <pivotFields count="27">
    <pivotField numFmtId="1" showAll="0"/>
    <pivotField numFmtId="164" showAll="0">
      <items count="13">
        <item x="0"/>
        <item x="1"/>
        <item x="2"/>
        <item x="3"/>
        <item x="4"/>
        <item x="5"/>
        <item x="6"/>
        <item x="7"/>
        <item x="8"/>
        <item x="9"/>
        <item x="10"/>
        <item x="11"/>
        <item t="default"/>
      </items>
    </pivotField>
    <pivotField showAll="0"/>
    <pivotField showAll="0">
      <items count="13">
        <item x="0"/>
        <item x="1"/>
        <item x="2"/>
        <item x="3"/>
        <item x="4"/>
        <item x="5"/>
        <item x="6"/>
        <item x="7"/>
        <item x="8"/>
        <item x="9"/>
        <item x="10"/>
        <item x="11"/>
        <item t="default"/>
      </items>
    </pivotField>
    <pivotField showAll="0"/>
    <pivotField showAll="0">
      <items count="3">
        <item x="0"/>
        <item x="1"/>
        <item t="default"/>
      </items>
    </pivotField>
    <pivotField showAll="0"/>
    <pivotField showAll="0"/>
    <pivotField showAll="0"/>
    <pivotField showAll="0">
      <items count="4">
        <item x="0"/>
        <item x="1"/>
        <item x="2"/>
        <item t="default"/>
      </items>
    </pivotField>
    <pivotField showAll="0"/>
    <pivotField showAll="0"/>
    <pivotField showAll="0"/>
    <pivotField showAll="0">
      <items count="3">
        <item x="0"/>
        <item x="1"/>
        <item t="default"/>
      </items>
    </pivotField>
    <pivotField numFmtId="166" showAll="0"/>
    <pivotField numFmtId="166" showAll="0"/>
    <pivotField showAll="0"/>
    <pivotField showAll="0"/>
    <pivotField numFmtId="1"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Wages" fld="22" baseField="0" baseItem="0" numFmtId="166"/>
  </dataFields>
  <formats count="11">
    <format dxfId="20232">
      <pivotArea type="all" dataOnly="0" outline="0" fieldPosition="0"/>
    </format>
    <format dxfId="20233">
      <pivotArea outline="0" collapsedLevelsAreSubtotals="1" fieldPosition="0"/>
    </format>
    <format dxfId="20234">
      <pivotArea dataOnly="0" labelOnly="1" outline="0" axis="axisValues" fieldPosition="0"/>
    </format>
    <format dxfId="20235">
      <pivotArea dataOnly="0" labelOnly="1" outline="0" axis="axisValues" fieldPosition="0"/>
    </format>
    <format dxfId="20236">
      <pivotArea type="all" dataOnly="0" outline="0" fieldPosition="0"/>
    </format>
    <format dxfId="20237">
      <pivotArea outline="0" collapsedLevelsAreSubtotals="1" fieldPosition="0"/>
    </format>
    <format dxfId="20238">
      <pivotArea dataOnly="0" labelOnly="1" outline="0" axis="axisValues" fieldPosition="0"/>
    </format>
    <format dxfId="20239">
      <pivotArea type="all" dataOnly="0" outline="0" fieldPosition="0"/>
    </format>
    <format dxfId="20240">
      <pivotArea field="9" type="button" dataOnly="0" labelOnly="1" outline="0"/>
    </format>
    <format dxfId="20241">
      <pivotArea dataOnly="0" labelOnly="1" grandRow="1" outline="0" fieldPosition="0"/>
    </format>
    <format dxfId="20242">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70559E-AC59-48EA-A602-9893759AC528}"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7" firstHeaderRow="1" firstDataRow="1" firstDataCol="1"/>
  <pivotFields count="27">
    <pivotField numFmtId="1" showAll="0"/>
    <pivotField numFmtId="164" showAll="0">
      <items count="13">
        <item x="0"/>
        <item x="1"/>
        <item x="2"/>
        <item x="3"/>
        <item x="4"/>
        <item x="5"/>
        <item x="6"/>
        <item x="7"/>
        <item x="8"/>
        <item x="9"/>
        <item x="10"/>
        <item x="11"/>
        <item t="default"/>
      </items>
    </pivotField>
    <pivotField showAll="0"/>
    <pivotField showAll="0">
      <items count="13">
        <item x="0"/>
        <item x="1"/>
        <item x="2"/>
        <item x="3"/>
        <item x="4"/>
        <item x="5"/>
        <item x="6"/>
        <item x="7"/>
        <item x="8"/>
        <item x="9"/>
        <item x="10"/>
        <item x="11"/>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numFmtId="166" showAll="0"/>
    <pivotField numFmtId="166" showAll="0"/>
    <pivotField showAll="0"/>
    <pivotField showAll="0"/>
    <pivotField numFmtId="1" showAll="0"/>
    <pivotField axis="axisRow" dataField="1" showAll="0">
      <items count="3">
        <item x="0"/>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9"/>
  </rowFields>
  <rowItems count="3">
    <i>
      <x/>
    </i>
    <i>
      <x v="1"/>
    </i>
    <i t="grand">
      <x/>
    </i>
  </rowItems>
  <colItems count="1">
    <i/>
  </colItems>
  <dataFields count="1">
    <dataField name="Count of Hired Transportation" fld="19" subtotal="count" baseField="0" baseItem="0"/>
  </dataFields>
  <formats count="7">
    <format dxfId="20308">
      <pivotArea type="all" dataOnly="0" outline="0" fieldPosition="0"/>
    </format>
    <format dxfId="20309">
      <pivotArea outline="0" collapsedLevelsAreSubtotals="1" fieldPosition="0"/>
    </format>
    <format dxfId="20310">
      <pivotArea dataOnly="0" labelOnly="1" outline="0" axis="axisValues" fieldPosition="0"/>
    </format>
    <format dxfId="20311">
      <pivotArea dataOnly="0" labelOnly="1" outline="0" axis="axisValues" fieldPosition="0"/>
    </format>
    <format dxfId="20312">
      <pivotArea type="all" dataOnly="0" outline="0" fieldPosition="0"/>
    </format>
    <format dxfId="20313">
      <pivotArea outline="0" collapsedLevelsAreSubtotals="1" fieldPosition="0"/>
    </format>
    <format dxfId="20314">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5ECDFF-6311-4A5E-AC58-CE24AC9A0801}"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4:L8" firstHeaderRow="1" firstDataRow="1" firstDataCol="1"/>
  <pivotFields count="27">
    <pivotField numFmtId="1" showAll="0"/>
    <pivotField numFmtId="164" showAll="0">
      <items count="13">
        <item x="0"/>
        <item x="1"/>
        <item x="2"/>
        <item x="3"/>
        <item x="4"/>
        <item x="5"/>
        <item x="6"/>
        <item x="7"/>
        <item x="8"/>
        <item x="9"/>
        <item x="10"/>
        <item x="11"/>
        <item t="default"/>
      </items>
    </pivotField>
    <pivotField showAll="0"/>
    <pivotField showAll="0">
      <items count="13">
        <item x="0"/>
        <item x="1"/>
        <item x="2"/>
        <item x="3"/>
        <item x="4"/>
        <item x="5"/>
        <item x="6"/>
        <item x="7"/>
        <item x="8"/>
        <item x="9"/>
        <item x="10"/>
        <item x="11"/>
        <item t="default"/>
      </items>
    </pivotField>
    <pivotField showAll="0"/>
    <pivotField showAll="0">
      <items count="3">
        <item x="0"/>
        <item x="1"/>
        <item t="default"/>
      </items>
    </pivotField>
    <pivotField showAll="0"/>
    <pivotField showAll="0"/>
    <pivotField showAll="0"/>
    <pivotField axis="axisRow" dataField="1" showAll="0">
      <items count="4">
        <item x="0"/>
        <item x="1"/>
        <item x="2"/>
        <item t="default"/>
      </items>
    </pivotField>
    <pivotField showAll="0"/>
    <pivotField showAll="0"/>
    <pivotField showAll="0"/>
    <pivotField showAll="0"/>
    <pivotField numFmtId="166" showAll="0"/>
    <pivotField numFmtId="166" showAll="0"/>
    <pivotField showAll="0"/>
    <pivotField showAll="0"/>
    <pivotField numFmtId="1"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Count of Trip Classify" fld="9" subtotal="count" baseField="0" baseItem="0"/>
  </dataFields>
  <formats count="7">
    <format dxfId="20301">
      <pivotArea type="all" dataOnly="0" outline="0" fieldPosition="0"/>
    </format>
    <format dxfId="20302">
      <pivotArea outline="0" collapsedLevelsAreSubtotals="1" fieldPosition="0"/>
    </format>
    <format dxfId="20303">
      <pivotArea dataOnly="0" labelOnly="1" outline="0" axis="axisValues" fieldPosition="0"/>
    </format>
    <format dxfId="20304">
      <pivotArea dataOnly="0" labelOnly="1" outline="0" axis="axisValues" fieldPosition="0"/>
    </format>
    <format dxfId="20305">
      <pivotArea type="all" dataOnly="0" outline="0" fieldPosition="0"/>
    </format>
    <format dxfId="20306">
      <pivotArea outline="0" collapsedLevelsAreSubtotals="1" fieldPosition="0"/>
    </format>
    <format dxfId="20307">
      <pivotArea dataOnly="0" labelOnly="1" outline="0" axis="axisValues" fieldPosition="0"/>
    </format>
  </formats>
  <chartFormats count="4">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9" count="1" selected="0">
            <x v="0"/>
          </reference>
        </references>
      </pivotArea>
    </chartFormat>
    <chartFormat chart="7" format="15">
      <pivotArea type="data" outline="0" fieldPosition="0">
        <references count="2">
          <reference field="4294967294" count="1" selected="0">
            <x v="0"/>
          </reference>
          <reference field="9" count="1" selected="0">
            <x v="1"/>
          </reference>
        </references>
      </pivotArea>
    </chartFormat>
    <chartFormat chart="7" format="16">
      <pivotArea type="data" outline="0" fieldPosition="0">
        <references count="2">
          <reference field="4294967294" count="1" selected="0">
            <x v="0"/>
          </reference>
          <reference field="9"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182FE0-A1C8-4AC4-878C-116E75978EE0}"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27">
    <pivotField dataField="1" numFmtId="1" showAll="0"/>
    <pivotField numFmtId="164" showAll="0">
      <items count="13">
        <item x="0"/>
        <item x="1"/>
        <item x="2"/>
        <item x="3"/>
        <item x="4"/>
        <item x="5"/>
        <item x="6"/>
        <item x="7"/>
        <item x="8"/>
        <item x="9"/>
        <item x="10"/>
        <item x="11"/>
        <item t="default"/>
      </items>
    </pivotField>
    <pivotField showAll="0"/>
    <pivotField showAll="0">
      <items count="13">
        <item x="0"/>
        <item x="1"/>
        <item x="2"/>
        <item x="3"/>
        <item x="4"/>
        <item x="5"/>
        <item x="6"/>
        <item x="7"/>
        <item x="8"/>
        <item x="9"/>
        <item x="10"/>
        <item x="11"/>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numFmtId="166" showAll="0"/>
    <pivotField numFmtId="166" showAll="0"/>
    <pivotField showAll="0"/>
    <pivotField showAll="0"/>
    <pivotField numFmtId="1"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N" fld="0" subtotal="count" baseField="0" baseItem="0"/>
  </dataFields>
  <formats count="7">
    <format dxfId="20351">
      <pivotArea type="all" dataOnly="0" outline="0" fieldPosition="0"/>
    </format>
    <format dxfId="20352">
      <pivotArea outline="0" collapsedLevelsAreSubtotals="1" fieldPosition="0"/>
    </format>
    <format dxfId="20353">
      <pivotArea dataOnly="0" labelOnly="1" outline="0" axis="axisValues" fieldPosition="0"/>
    </format>
    <format dxfId="20354">
      <pivotArea dataOnly="0" labelOnly="1" outline="0" axis="axisValues" fieldPosition="0"/>
    </format>
    <format dxfId="20355">
      <pivotArea type="all" dataOnly="0" outline="0" fieldPosition="0"/>
    </format>
    <format dxfId="20356">
      <pivotArea outline="0" collapsedLevelsAreSubtotals="1" fieldPosition="0"/>
    </format>
    <format dxfId="20357">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75B965-86B3-49B1-8504-08884398C7C7}"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B4:AB5" firstHeaderRow="1" firstDataRow="1" firstDataCol="0"/>
  <pivotFields count="27">
    <pivotField numFmtId="1" showAll="0"/>
    <pivotField numFmtId="164" showAll="0">
      <items count="13">
        <item x="0"/>
        <item x="1"/>
        <item x="2"/>
        <item x="3"/>
        <item x="4"/>
        <item x="5"/>
        <item x="6"/>
        <item x="7"/>
        <item x="8"/>
        <item x="9"/>
        <item x="10"/>
        <item x="11"/>
        <item t="default"/>
      </items>
    </pivotField>
    <pivotField showAll="0"/>
    <pivotField showAll="0">
      <items count="13">
        <item x="0"/>
        <item x="1"/>
        <item x="2"/>
        <item x="3"/>
        <item x="4"/>
        <item x="5"/>
        <item x="6"/>
        <item x="7"/>
        <item x="8"/>
        <item x="9"/>
        <item x="10"/>
        <item x="11"/>
        <item t="default"/>
      </items>
    </pivotField>
    <pivotField showAll="0"/>
    <pivotField showAll="0">
      <items count="3">
        <item x="0"/>
        <item x="1"/>
        <item t="default"/>
      </items>
    </pivotField>
    <pivotField showAll="0"/>
    <pivotField showAll="0"/>
    <pivotField showAll="0"/>
    <pivotField showAll="0">
      <items count="4">
        <item x="0"/>
        <item x="1"/>
        <item x="2"/>
        <item t="default"/>
      </items>
    </pivotField>
    <pivotField showAll="0"/>
    <pivotField showAll="0"/>
    <pivotField showAll="0"/>
    <pivotField showAll="0">
      <items count="3">
        <item x="0"/>
        <item x="1"/>
        <item t="default"/>
      </items>
    </pivotField>
    <pivotField numFmtId="166" showAll="0"/>
    <pivotField numFmtId="166" showAll="0"/>
    <pivotField showAll="0"/>
    <pivotField showAll="0"/>
    <pivotField numFmtId="1"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Expenses" fld="20" baseField="0" baseItem="0" numFmtId="168"/>
  </dataFields>
  <formats count="11">
    <format dxfId="20266">
      <pivotArea type="all" dataOnly="0" outline="0" fieldPosition="0"/>
    </format>
    <format dxfId="20267">
      <pivotArea outline="0" collapsedLevelsAreSubtotals="1" fieldPosition="0"/>
    </format>
    <format dxfId="20268">
      <pivotArea dataOnly="0" labelOnly="1" outline="0" axis="axisValues" fieldPosition="0"/>
    </format>
    <format dxfId="20269">
      <pivotArea dataOnly="0" labelOnly="1" outline="0" axis="axisValues" fieldPosition="0"/>
    </format>
    <format dxfId="20270">
      <pivotArea type="all" dataOnly="0" outline="0" fieldPosition="0"/>
    </format>
    <format dxfId="20271">
      <pivotArea outline="0" collapsedLevelsAreSubtotals="1" fieldPosition="0"/>
    </format>
    <format dxfId="20272">
      <pivotArea dataOnly="0" labelOnly="1" outline="0" axis="axisValues" fieldPosition="0"/>
    </format>
    <format dxfId="20273">
      <pivotArea type="all" dataOnly="0" outline="0" fieldPosition="0"/>
    </format>
    <format dxfId="20274">
      <pivotArea field="9" type="button" dataOnly="0" labelOnly="1" outline="0"/>
    </format>
    <format dxfId="20275">
      <pivotArea dataOnly="0" labelOnly="1" grandRow="1" outline="0" fieldPosition="0"/>
    </format>
    <format dxfId="20276">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584A6C-D81E-4FCE-85C4-889673932517}"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S4:AW7" firstHeaderRow="0" firstDataRow="1" firstDataCol="1"/>
  <pivotFields count="27">
    <pivotField numFmtId="1" showAll="0"/>
    <pivotField numFmtId="164" showAll="0">
      <items count="13">
        <item x="0"/>
        <item x="1"/>
        <item x="2"/>
        <item x="3"/>
        <item x="4"/>
        <item x="5"/>
        <item x="6"/>
        <item x="7"/>
        <item x="8"/>
        <item x="9"/>
        <item x="10"/>
        <item x="11"/>
        <item t="default"/>
      </items>
    </pivotField>
    <pivotField showAll="0"/>
    <pivotField showAll="0">
      <items count="13">
        <item x="0"/>
        <item x="1"/>
        <item x="2"/>
        <item x="3"/>
        <item x="4"/>
        <item x="5"/>
        <item x="6"/>
        <item x="7"/>
        <item x="8"/>
        <item x="9"/>
        <item x="10"/>
        <item x="11"/>
        <item t="default"/>
      </items>
    </pivotField>
    <pivotField showAll="0"/>
    <pivotField dataField="1" showAll="0">
      <items count="3">
        <item x="0"/>
        <item x="1"/>
        <item t="default"/>
      </items>
    </pivotField>
    <pivotField dataField="1" showAll="0">
      <items count="3">
        <item x="1"/>
        <item x="0"/>
        <item t="default"/>
      </items>
    </pivotField>
    <pivotField showAll="0"/>
    <pivotField dataField="1" showAll="0"/>
    <pivotField showAll="0">
      <items count="4">
        <item x="0"/>
        <item x="1"/>
        <item x="2"/>
        <item t="default"/>
      </items>
    </pivotField>
    <pivotField axis="axisRow" dataField="1" showAll="0">
      <items count="3">
        <item x="1"/>
        <item x="0"/>
        <item t="default"/>
      </items>
    </pivotField>
    <pivotField showAll="0"/>
    <pivotField showAll="0"/>
    <pivotField showAll="0">
      <items count="3">
        <item x="0"/>
        <item x="1"/>
        <item t="default"/>
      </items>
    </pivotField>
    <pivotField numFmtId="166" showAll="0"/>
    <pivotField numFmtId="166" showAll="0"/>
    <pivotField showAll="0"/>
    <pivotField showAll="0"/>
    <pivotField numFmtId="1"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t="grand">
      <x/>
    </i>
  </rowItems>
  <colFields count="1">
    <field x="-2"/>
  </colFields>
  <colItems count="4">
    <i>
      <x/>
    </i>
    <i i="1">
      <x v="1"/>
    </i>
    <i i="2">
      <x v="2"/>
    </i>
    <i i="3">
      <x v="3"/>
    </i>
  </colItems>
  <dataFields count="4">
    <dataField name="Sum of Distance (km)" fld="8" baseField="0" baseItem="0"/>
    <dataField name="Count of Distance Traveled" fld="10" subtotal="count" baseField="0" baseItem="0"/>
    <dataField name="Count of Driver" fld="5" subtotal="count" baseField="0" baseItem="0"/>
    <dataField name="Count of Buddy" fld="6" subtotal="count" baseField="0" baseItem="0"/>
  </dataFields>
  <formats count="12">
    <format dxfId="20315">
      <pivotArea type="all" dataOnly="0" outline="0" fieldPosition="0"/>
    </format>
    <format dxfId="20316">
      <pivotArea outline="0" collapsedLevelsAreSubtotals="1" fieldPosition="0"/>
    </format>
    <format dxfId="20317">
      <pivotArea dataOnly="0" labelOnly="1" outline="0" axis="axisValues" fieldPosition="0"/>
    </format>
    <format dxfId="20318">
      <pivotArea dataOnly="0" labelOnly="1" outline="0" axis="axisValues" fieldPosition="0"/>
    </format>
    <format dxfId="20319">
      <pivotArea type="all" dataOnly="0" outline="0" fieldPosition="0"/>
    </format>
    <format dxfId="20320">
      <pivotArea outline="0" collapsedLevelsAreSubtotals="1" fieldPosition="0"/>
    </format>
    <format dxfId="20321">
      <pivotArea dataOnly="0" labelOnly="1" outline="0" axis="axisValues" fieldPosition="0"/>
    </format>
    <format dxfId="20322">
      <pivotArea type="all" dataOnly="0" outline="0" fieldPosition="0"/>
    </format>
    <format dxfId="20323">
      <pivotArea field="9" type="button" dataOnly="0" labelOnly="1" outline="0"/>
    </format>
    <format dxfId="20324">
      <pivotArea dataOnly="0" labelOnly="1" grandRow="1" outline="0" fieldPosition="0"/>
    </format>
    <format dxfId="20325">
      <pivotArea outline="0" collapsedLevelsAreSubtotals="1" fieldPosition="0"/>
    </format>
    <format dxfId="20326">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C68C60-AEF3-4072-A518-FE17FEE9C351}"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P4:AQ17" firstHeaderRow="1" firstDataRow="1" firstDataCol="1"/>
  <pivotFields count="27">
    <pivotField numFmtId="1" showAll="0"/>
    <pivotField numFmtId="164" showAll="0">
      <items count="13">
        <item x="0"/>
        <item x="1"/>
        <item x="2"/>
        <item x="3"/>
        <item x="4"/>
        <item x="5"/>
        <item x="6"/>
        <item x="7"/>
        <item x="8"/>
        <item x="9"/>
        <item x="10"/>
        <item x="11"/>
        <item t="default"/>
      </items>
    </pivotField>
    <pivotField showAll="0"/>
    <pivotField axis="axisRow" showAll="0">
      <items count="13">
        <item x="0"/>
        <item x="1"/>
        <item x="2"/>
        <item x="3"/>
        <item x="4"/>
        <item x="5"/>
        <item x="6"/>
        <item x="7"/>
        <item x="8"/>
        <item x="9"/>
        <item x="10"/>
        <item x="11"/>
        <item t="default"/>
      </items>
    </pivotField>
    <pivotField showAll="0"/>
    <pivotField showAll="0">
      <items count="3">
        <item x="0"/>
        <item x="1"/>
        <item t="default"/>
      </items>
    </pivotField>
    <pivotField showAll="0"/>
    <pivotField showAll="0"/>
    <pivotField showAll="0"/>
    <pivotField showAll="0">
      <items count="4">
        <item x="0"/>
        <item x="1"/>
        <item x="2"/>
        <item t="default"/>
      </items>
    </pivotField>
    <pivotField showAll="0"/>
    <pivotField showAll="0"/>
    <pivotField showAll="0"/>
    <pivotField showAll="0">
      <items count="3">
        <item x="0"/>
        <item x="1"/>
        <item t="default"/>
      </items>
    </pivotField>
    <pivotField numFmtId="166" showAll="0"/>
    <pivotField numFmtId="166" showAll="0"/>
    <pivotField showAll="0"/>
    <pivotField showAll="0"/>
    <pivotField numFmtId="1"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Expenses by Month" fld="24" baseField="3" baseItem="0" numFmtId="41"/>
  </dataFields>
  <formats count="12">
    <format dxfId="20327">
      <pivotArea type="all" dataOnly="0" outline="0" fieldPosition="0"/>
    </format>
    <format dxfId="20328">
      <pivotArea outline="0" collapsedLevelsAreSubtotals="1" fieldPosition="0"/>
    </format>
    <format dxfId="20329">
      <pivotArea dataOnly="0" labelOnly="1" outline="0" axis="axisValues" fieldPosition="0"/>
    </format>
    <format dxfId="20330">
      <pivotArea dataOnly="0" labelOnly="1" outline="0" axis="axisValues" fieldPosition="0"/>
    </format>
    <format dxfId="20331">
      <pivotArea type="all" dataOnly="0" outline="0" fieldPosition="0"/>
    </format>
    <format dxfId="20332">
      <pivotArea outline="0" collapsedLevelsAreSubtotals="1" fieldPosition="0"/>
    </format>
    <format dxfId="20333">
      <pivotArea dataOnly="0" labelOnly="1" outline="0" axis="axisValues" fieldPosition="0"/>
    </format>
    <format dxfId="20334">
      <pivotArea type="all" dataOnly="0" outline="0" fieldPosition="0"/>
    </format>
    <format dxfId="20335">
      <pivotArea field="9" type="button" dataOnly="0" labelOnly="1" outline="0"/>
    </format>
    <format dxfId="20336">
      <pivotArea dataOnly="0" labelOnly="1" grandRow="1" outline="0" fieldPosition="0"/>
    </format>
    <format dxfId="20337">
      <pivotArea outline="0" collapsedLevelsAreSubtotals="1" fieldPosition="0"/>
    </format>
    <format dxfId="20338">
      <pivotArea dataOnly="0" labelOnly="1" outline="0" axis="axisValues" fieldPosition="0"/>
    </format>
  </formats>
  <chartFormats count="1">
    <chartFormat chart="44"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804293-39B3-4A31-9AA2-5F0F54EA1063}"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X4:Y7" firstHeaderRow="1" firstDataRow="1" firstDataCol="1"/>
  <pivotFields count="27">
    <pivotField numFmtId="1" showAll="0"/>
    <pivotField numFmtId="164" showAll="0">
      <items count="13">
        <item x="0"/>
        <item x="1"/>
        <item x="2"/>
        <item x="3"/>
        <item x="4"/>
        <item x="5"/>
        <item x="6"/>
        <item x="7"/>
        <item x="8"/>
        <item x="9"/>
        <item x="10"/>
        <item x="11"/>
        <item t="default"/>
      </items>
    </pivotField>
    <pivotField showAll="0"/>
    <pivotField showAll="0">
      <items count="13">
        <item x="0"/>
        <item x="1"/>
        <item x="2"/>
        <item x="3"/>
        <item x="4"/>
        <item x="5"/>
        <item x="6"/>
        <item x="7"/>
        <item x="8"/>
        <item x="9"/>
        <item x="10"/>
        <item x="11"/>
        <item t="default"/>
      </items>
    </pivotField>
    <pivotField showAll="0"/>
    <pivotField showAll="0">
      <items count="3">
        <item x="0"/>
        <item x="1"/>
        <item t="default"/>
      </items>
    </pivotField>
    <pivotField showAll="0"/>
    <pivotField showAll="0"/>
    <pivotField showAll="0"/>
    <pivotField showAll="0">
      <items count="4">
        <item x="0"/>
        <item x="1"/>
        <item x="2"/>
        <item t="default"/>
      </items>
    </pivotField>
    <pivotField showAll="0"/>
    <pivotField showAll="0"/>
    <pivotField showAll="0"/>
    <pivotField axis="axisRow" dataField="1" showAll="0">
      <items count="3">
        <item x="0"/>
        <item x="1"/>
        <item t="default"/>
      </items>
    </pivotField>
    <pivotField numFmtId="166" showAll="0"/>
    <pivotField numFmtId="166" showAll="0"/>
    <pivotField showAll="0"/>
    <pivotField showAll="0"/>
    <pivotField numFmtId="1"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3">
    <i>
      <x/>
    </i>
    <i>
      <x v="1"/>
    </i>
    <i t="grand">
      <x/>
    </i>
  </rowItems>
  <colItems count="1">
    <i/>
  </colItems>
  <dataFields count="1">
    <dataField name="Count of Goods" fld="13" subtotal="count" baseField="0" baseItem="0"/>
  </dataFields>
  <formats count="11">
    <format dxfId="20277">
      <pivotArea type="all" dataOnly="0" outline="0" fieldPosition="0"/>
    </format>
    <format dxfId="20278">
      <pivotArea outline="0" collapsedLevelsAreSubtotals="1" fieldPosition="0"/>
    </format>
    <format dxfId="20279">
      <pivotArea dataOnly="0" labelOnly="1" outline="0" axis="axisValues" fieldPosition="0"/>
    </format>
    <format dxfId="20280">
      <pivotArea dataOnly="0" labelOnly="1" outline="0" axis="axisValues" fieldPosition="0"/>
    </format>
    <format dxfId="20281">
      <pivotArea type="all" dataOnly="0" outline="0" fieldPosition="0"/>
    </format>
    <format dxfId="20282">
      <pivotArea outline="0" collapsedLevelsAreSubtotals="1" fieldPosition="0"/>
    </format>
    <format dxfId="20283">
      <pivotArea dataOnly="0" labelOnly="1" outline="0" axis="axisValues" fieldPosition="0"/>
    </format>
    <format dxfId="20284">
      <pivotArea type="all" dataOnly="0" outline="0" fieldPosition="0"/>
    </format>
    <format dxfId="20285">
      <pivotArea field="9" type="button" dataOnly="0" labelOnly="1" outline="0"/>
    </format>
    <format dxfId="20286">
      <pivotArea dataOnly="0" labelOnly="1" grandRow="1" outline="0" fieldPosition="0"/>
    </format>
    <format dxfId="20287">
      <pivotArea outline="0" collapsedLevelsAreSubtotals="1" fieldPosition="0"/>
    </format>
  </formats>
  <chartFormats count="3">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13" count="1" selected="0">
            <x v="1"/>
          </reference>
        </references>
      </pivotArea>
    </chartFormat>
    <chartFormat chart="29" format="4">
      <pivotArea type="data" outline="0" fieldPosition="0">
        <references count="2">
          <reference field="4294967294" count="1" selected="0">
            <x v="0"/>
          </reference>
          <reference field="13"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802728-A579-4823-B60D-15C61074CFE3}"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D4:AD5" firstHeaderRow="1" firstDataRow="1" firstDataCol="0"/>
  <pivotFields count="27">
    <pivotField numFmtId="1" showAll="0"/>
    <pivotField numFmtId="164" showAll="0">
      <items count="13">
        <item x="0"/>
        <item x="1"/>
        <item x="2"/>
        <item x="3"/>
        <item x="4"/>
        <item x="5"/>
        <item x="6"/>
        <item x="7"/>
        <item x="8"/>
        <item x="9"/>
        <item x="10"/>
        <item x="11"/>
        <item t="default"/>
      </items>
    </pivotField>
    <pivotField showAll="0"/>
    <pivotField showAll="0">
      <items count="13">
        <item x="0"/>
        <item x="1"/>
        <item x="2"/>
        <item x="3"/>
        <item x="4"/>
        <item x="5"/>
        <item x="6"/>
        <item x="7"/>
        <item x="8"/>
        <item x="9"/>
        <item x="10"/>
        <item x="11"/>
        <item t="default"/>
      </items>
    </pivotField>
    <pivotField showAll="0"/>
    <pivotField showAll="0">
      <items count="3">
        <item x="0"/>
        <item x="1"/>
        <item t="default"/>
      </items>
    </pivotField>
    <pivotField showAll="0"/>
    <pivotField showAll="0"/>
    <pivotField showAll="0"/>
    <pivotField showAll="0">
      <items count="4">
        <item x="0"/>
        <item x="1"/>
        <item x="2"/>
        <item t="default"/>
      </items>
    </pivotField>
    <pivotField showAll="0"/>
    <pivotField showAll="0"/>
    <pivotField showAll="0"/>
    <pivotField showAll="0">
      <items count="3">
        <item x="0"/>
        <item x="1"/>
        <item t="default"/>
      </items>
    </pivotField>
    <pivotField numFmtId="166" showAll="0"/>
    <pivotField numFmtId="166" showAll="0"/>
    <pivotField showAll="0"/>
    <pivotField showAll="0"/>
    <pivotField numFmtId="1"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aries" fld="21" baseField="0" baseItem="0"/>
  </dataFields>
  <formats count="11">
    <format dxfId="20255">
      <pivotArea type="all" dataOnly="0" outline="0" fieldPosition="0"/>
    </format>
    <format dxfId="20256">
      <pivotArea outline="0" collapsedLevelsAreSubtotals="1" fieldPosition="0"/>
    </format>
    <format dxfId="20257">
      <pivotArea dataOnly="0" labelOnly="1" outline="0" axis="axisValues" fieldPosition="0"/>
    </format>
    <format dxfId="20258">
      <pivotArea dataOnly="0" labelOnly="1" outline="0" axis="axisValues" fieldPosition="0"/>
    </format>
    <format dxfId="20259">
      <pivotArea type="all" dataOnly="0" outline="0" fieldPosition="0"/>
    </format>
    <format dxfId="20260">
      <pivotArea outline="0" collapsedLevelsAreSubtotals="1" fieldPosition="0"/>
    </format>
    <format dxfId="20261">
      <pivotArea dataOnly="0" labelOnly="1" outline="0" axis="axisValues" fieldPosition="0"/>
    </format>
    <format dxfId="20262">
      <pivotArea type="all" dataOnly="0" outline="0" fieldPosition="0"/>
    </format>
    <format dxfId="20263">
      <pivotArea field="9" type="button" dataOnly="0" labelOnly="1" outline="0"/>
    </format>
    <format dxfId="20264">
      <pivotArea dataOnly="0" labelOnly="1" grandRow="1" outline="0" fieldPosition="0"/>
    </format>
    <format dxfId="20265">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40163F-8285-4F4A-B563-5119553E9797}"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S4:U8" firstHeaderRow="0" firstDataRow="1" firstDataCol="1"/>
  <pivotFields count="27">
    <pivotField numFmtId="1" showAll="0"/>
    <pivotField numFmtId="164" showAll="0">
      <items count="13">
        <item x="0"/>
        <item x="1"/>
        <item x="2"/>
        <item x="3"/>
        <item x="4"/>
        <item x="5"/>
        <item x="6"/>
        <item x="7"/>
        <item x="8"/>
        <item x="9"/>
        <item x="10"/>
        <item x="11"/>
        <item t="default"/>
      </items>
    </pivotField>
    <pivotField showAll="0"/>
    <pivotField showAll="0">
      <items count="13">
        <item x="0"/>
        <item x="1"/>
        <item x="2"/>
        <item x="3"/>
        <item x="4"/>
        <item x="5"/>
        <item x="6"/>
        <item x="7"/>
        <item x="8"/>
        <item x="9"/>
        <item x="10"/>
        <item x="11"/>
        <item t="default"/>
      </items>
    </pivotField>
    <pivotField showAll="0"/>
    <pivotField showAll="0">
      <items count="3">
        <item x="0"/>
        <item x="1"/>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dataField="1" numFmtId="166" showAll="0"/>
    <pivotField dataField="1" numFmtId="166" showAll="0"/>
    <pivotField showAll="0"/>
    <pivotField showAll="0"/>
    <pivotField numFmtId="1"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Fields count="1">
    <field x="-2"/>
  </colFields>
  <colItems count="2">
    <i>
      <x/>
    </i>
    <i i="1">
      <x v="1"/>
    </i>
  </colItems>
  <dataFields count="2">
    <dataField name="Sum of Driver wage/trip" fld="14" baseField="0" baseItem="0" numFmtId="166"/>
    <dataField name="Sum of Buddy wage/trip" fld="15" baseField="0" baseItem="0" numFmtId="166"/>
  </dataFields>
  <formats count="13">
    <format dxfId="20288">
      <pivotArea type="all" dataOnly="0" outline="0" fieldPosition="0"/>
    </format>
    <format dxfId="20289">
      <pivotArea outline="0" collapsedLevelsAreSubtotals="1" fieldPosition="0"/>
    </format>
    <format dxfId="20290">
      <pivotArea dataOnly="0" labelOnly="1" outline="0" axis="axisValues" fieldPosition="0"/>
    </format>
    <format dxfId="20291">
      <pivotArea dataOnly="0" labelOnly="1" outline="0" axis="axisValues" fieldPosition="0"/>
    </format>
    <format dxfId="20292">
      <pivotArea type="all" dataOnly="0" outline="0" fieldPosition="0"/>
    </format>
    <format dxfId="20293">
      <pivotArea outline="0" collapsedLevelsAreSubtotals="1" fieldPosition="0"/>
    </format>
    <format dxfId="20294">
      <pivotArea dataOnly="0" labelOnly="1" outline="0" axis="axisValues" fieldPosition="0"/>
    </format>
    <format dxfId="20295">
      <pivotArea type="all" dataOnly="0" outline="0" fieldPosition="0"/>
    </format>
    <format dxfId="20296">
      <pivotArea field="9" type="button" dataOnly="0" labelOnly="1" outline="0" axis="axisRow" fieldPosition="0"/>
    </format>
    <format dxfId="20297">
      <pivotArea dataOnly="0" labelOnly="1" fieldPosition="0">
        <references count="1">
          <reference field="9" count="0"/>
        </references>
      </pivotArea>
    </format>
    <format dxfId="20298">
      <pivotArea dataOnly="0" labelOnly="1" grandRow="1" outline="0" fieldPosition="0"/>
    </format>
    <format dxfId="20299">
      <pivotArea dataOnly="0" labelOnly="1" outline="0" fieldPosition="0">
        <references count="1">
          <reference field="4294967294" count="2">
            <x v="0"/>
            <x v="1"/>
          </reference>
        </references>
      </pivotArea>
    </format>
    <format dxfId="20300">
      <pivotArea outline="0" collapsedLevelsAreSubtotals="1" fieldPosition="0"/>
    </format>
  </formats>
  <chartFormats count="2">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FA18E00-0519-46BD-BA39-5B60D7555B73}" sourceName="Month">
  <pivotTables>
    <pivotTable tabId="6" name="PivotTable13"/>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286998141">
      <items count="12">
        <i x="0" s="1"/>
        <i x="1" s="1"/>
        <i x="2" s="1"/>
        <i x="3" s="1"/>
        <i x="4" s="1"/>
        <i x="5" s="1"/>
        <i x="6" s="1"/>
        <i x="7" s="1"/>
        <i x="8" s="1"/>
        <i x="9" s="1"/>
        <i x="10" s="1"/>
        <i x="1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 xr10:uid="{C8B8DCA5-EA29-4933-AD53-EC618023CCCA}" sourceName="Driver">
  <pivotTables>
    <pivotTable tabId="6" name="PivotTable13"/>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286998141">
      <items count="2">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1190BA93-CCAA-407F-A28C-42E4835F5C19}" sourceName="Month">
  <data>
    <tabular pivotCacheId="286998141">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1" xr10:uid="{873F12B0-ED88-4D95-AA76-8ACD64FFFCFB}" sourceName="Driver">
  <data>
    <tabular pivotCacheId="28699814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7168801-5B34-4EEA-B060-ED1BE6787AA2}" cache="Slicer_Month" columnCount="3" style="Slicer Style 1 2 3" rowHeight="365760"/>
  <slicer name="Driver" xr10:uid="{2C7E223D-14BA-4B61-900B-B29455A80BD0}" cache="Slicer_Driver" style="Slicer Style 1 2 3" rowHeight="5486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2AD026BD-AFA6-4D8D-926C-3C786A1F6C3F}" cache="Slicer_Month" columnCount="3" style="Slicer Style 1 2 3" rowHeight="365760"/>
  <slicer name="Driver 1" xr10:uid="{9D55D62C-EE04-413A-A227-5E9E179BAAF3}" cache="Slicer_Driver" style="Slicer Style 1 2 3" rowHeight="54864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AEF335C1-BB87-4FA8-A7CA-1B9DF748F0D5}" cache="Slicer_Month1" caption="Month" rowHeight="257175"/>
  <slicer name="Driver 2" xr10:uid="{E123EA5C-8343-4CDA-A8D2-1F414FB5C832}" cache="Slicer_Driver1" caption="Driv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C5FFC4-0F95-E849-AFB2-F8EA7D483F1F}" name="Main_Table" displayName="Main_Table" ref="A1:T25" totalsRowShown="0" headerRowDxfId="20635" dataDxfId="20633" headerRowBorderDxfId="20634" tableBorderDxfId="20632" dataCellStyle="Currency">
  <autoFilter ref="A1:T25" xr:uid="{84C5FFC4-0F95-E849-AFB2-F8EA7D483F1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C0331F21-017F-9047-A7BC-00708DAEF677}" name="N" dataDxfId="20631" dataCellStyle="Currency"/>
    <tableColumn id="2" xr3:uid="{E8E25A6D-4457-5A43-885F-D4B8523BEC7B}" name="Date" dataDxfId="20630"/>
    <tableColumn id="3" xr3:uid="{ED5F65CF-8DAF-A64A-B330-FC8CA06635F4}" name="Year" dataDxfId="20629"/>
    <tableColumn id="4" xr3:uid="{1A82F85F-568B-554A-B629-F33CE74DDCAA}" name="Month" dataDxfId="20628"/>
    <tableColumn id="5" xr3:uid="{8274E1F1-5607-FB48-9F63-46DF798A0B43}" name="Day" dataDxfId="20627"/>
    <tableColumn id="6" xr3:uid="{6A90C817-EF5C-5343-AF91-F6C5871ACAA1}" name="Driver" dataDxfId="20626"/>
    <tableColumn id="7" xr3:uid="{277D6442-277D-0043-963E-BFFB33A8373C}" name="Buddy" dataDxfId="20625"/>
    <tableColumn id="8" xr3:uid="{7ED7BC23-6522-724C-A392-A4B00AF01FD7}" name="Vehicle" dataDxfId="20624"/>
    <tableColumn id="9" xr3:uid="{70870C9B-2D80-CC47-AD37-7769803E6A1C}" name="Distance (km)" dataDxfId="20623"/>
    <tableColumn id="10" xr3:uid="{B33E6540-F9D4-A843-9D57-1CBE78A543BA}" name="Trip Classify" dataDxfId="20622"/>
    <tableColumn id="11" xr3:uid="{1BDA710B-6EC4-F847-A14A-14D68A05A486}" name="Distance Traveled" dataDxfId="20621" dataCellStyle="Currency"/>
    <tableColumn id="12" xr3:uid="{790B5258-1600-2941-A6EA-82D2FA062478}" name="From" dataDxfId="20620"/>
    <tableColumn id="13" xr3:uid="{85F1EE10-5F00-7A4C-A1DD-AB3EF15E3045}" name="To" dataDxfId="20619"/>
    <tableColumn id="14" xr3:uid="{976AE6D9-A46B-B747-BBB0-D5B9975EA329}" name="Goods" dataDxfId="20618"/>
    <tableColumn id="15" xr3:uid="{7AD2D6FF-E3D2-CB41-8956-2E011A8C5614}" name="Driver wage/trip" dataDxfId="20617" dataCellStyle="Currency"/>
    <tableColumn id="16" xr3:uid="{C5CE1DF6-14FC-DA4B-B26B-8B39CACEF84D}" name="Buddy wage/trip" dataDxfId="20616" dataCellStyle="Currency"/>
    <tableColumn id="17" xr3:uid="{882E4C0E-58CD-4040-932A-F9725C18E032}" name="Driver Salary" dataDxfId="20615" dataCellStyle="Currency"/>
    <tableColumn id="18" xr3:uid="{99CC0155-F377-B146-9559-6004A670A781}" name="Buddy Salary" dataDxfId="20614" dataCellStyle="Currency"/>
    <tableColumn id="19" xr3:uid="{615C606D-28CF-2447-9B2F-33672EDF766A}" name="Weight (Tons)" dataDxfId="20613" dataCellStyle="Currency"/>
    <tableColumn id="20" xr3:uid="{78A21D70-2B4D-3C4D-9257-910B3072CE20}" name="Hired Transportation" dataDxfId="20612" dataCellStyle="Currency"/>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3.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36AC4-AEB6-CA43-8C29-B2F3A85BECA9}">
  <dimension ref="A1:T25"/>
  <sheetViews>
    <sheetView showGridLines="0" showRowColHeaders="0" workbookViewId="0">
      <selection activeCell="B2" sqref="B2"/>
    </sheetView>
  </sheetViews>
  <sheetFormatPr defaultColWidth="12" defaultRowHeight="15.75" x14ac:dyDescent="0.25"/>
  <cols>
    <col min="1" max="1" width="3.5" style="1" bestFit="1" customWidth="1"/>
    <col min="2" max="2" width="28.5" style="1" bestFit="1" customWidth="1"/>
    <col min="3" max="3" width="9.125" style="1" customWidth="1"/>
    <col min="4" max="4" width="6.875" style="1" customWidth="1"/>
    <col min="5" max="5" width="8.625" style="1" customWidth="1"/>
    <col min="6" max="6" width="9.375" style="1" customWidth="1"/>
    <col min="7" max="8" width="14" style="1" bestFit="1" customWidth="1"/>
    <col min="9" max="9" width="11.125" style="1" customWidth="1"/>
    <col min="10" max="12" width="10.125" style="1" bestFit="1" customWidth="1"/>
    <col min="13" max="13" width="11.5" style="1" bestFit="1" customWidth="1"/>
    <col min="14" max="14" width="13.125" style="1" customWidth="1"/>
    <col min="15" max="15" width="10.25" style="1" bestFit="1" customWidth="1"/>
    <col min="16" max="16" width="11.625" style="1" customWidth="1"/>
    <col min="17" max="17" width="9.125" style="1" customWidth="1"/>
    <col min="18" max="18" width="12.625" style="1" customWidth="1"/>
    <col min="19" max="19" width="14.125" style="1" customWidth="1"/>
    <col min="20" max="16384" width="12" style="1"/>
  </cols>
  <sheetData>
    <row r="1" spans="1:20" s="2" customFormat="1" ht="35.1"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pans="1:20" ht="24" customHeight="1" x14ac:dyDescent="0.25">
      <c r="A2" s="4">
        <v>1</v>
      </c>
      <c r="B2" s="5">
        <v>44562</v>
      </c>
      <c r="C2" s="6">
        <v>2022</v>
      </c>
      <c r="D2" s="7" t="s">
        <v>20</v>
      </c>
      <c r="E2" s="6">
        <v>1</v>
      </c>
      <c r="F2" s="6" t="s">
        <v>21</v>
      </c>
      <c r="G2" s="6" t="s">
        <v>22</v>
      </c>
      <c r="H2" s="6" t="s">
        <v>23</v>
      </c>
      <c r="I2" s="6">
        <v>25</v>
      </c>
      <c r="J2" s="6" t="s">
        <v>56</v>
      </c>
      <c r="K2" s="8" t="s">
        <v>24</v>
      </c>
      <c r="L2" s="6" t="s">
        <v>25</v>
      </c>
      <c r="M2" s="6" t="s">
        <v>26</v>
      </c>
      <c r="N2" s="6" t="s">
        <v>27</v>
      </c>
      <c r="O2" s="28">
        <v>400</v>
      </c>
      <c r="P2" s="27">
        <v>400</v>
      </c>
      <c r="Q2" s="27">
        <v>400</v>
      </c>
      <c r="R2" s="27">
        <v>400</v>
      </c>
      <c r="S2" s="4">
        <v>14</v>
      </c>
      <c r="T2" s="8" t="s">
        <v>28</v>
      </c>
    </row>
    <row r="3" spans="1:20" ht="24" customHeight="1" x14ac:dyDescent="0.25">
      <c r="A3" s="9">
        <v>2</v>
      </c>
      <c r="B3" s="10">
        <v>44593</v>
      </c>
      <c r="C3" s="11">
        <v>2022</v>
      </c>
      <c r="D3" s="12" t="s">
        <v>29</v>
      </c>
      <c r="E3" s="11">
        <v>1</v>
      </c>
      <c r="F3" s="11" t="s">
        <v>30</v>
      </c>
      <c r="G3" s="11" t="s">
        <v>22</v>
      </c>
      <c r="H3" s="11" t="s">
        <v>31</v>
      </c>
      <c r="I3" s="11">
        <v>15</v>
      </c>
      <c r="J3" s="11" t="s">
        <v>56</v>
      </c>
      <c r="K3" s="13" t="s">
        <v>24</v>
      </c>
      <c r="L3" s="11" t="s">
        <v>32</v>
      </c>
      <c r="M3" s="11" t="s">
        <v>33</v>
      </c>
      <c r="N3" s="11" t="s">
        <v>34</v>
      </c>
      <c r="O3" s="29">
        <v>400</v>
      </c>
      <c r="P3" s="30">
        <v>100</v>
      </c>
      <c r="Q3" s="30">
        <v>400</v>
      </c>
      <c r="R3" s="30">
        <v>100</v>
      </c>
      <c r="S3" s="9">
        <v>11</v>
      </c>
      <c r="T3" s="13" t="s">
        <v>28</v>
      </c>
    </row>
    <row r="4" spans="1:20" ht="24" customHeight="1" x14ac:dyDescent="0.25">
      <c r="A4" s="4">
        <v>3</v>
      </c>
      <c r="B4" s="5">
        <v>44621</v>
      </c>
      <c r="C4" s="6">
        <v>2022</v>
      </c>
      <c r="D4" s="7" t="s">
        <v>35</v>
      </c>
      <c r="E4" s="6">
        <v>1</v>
      </c>
      <c r="F4" s="6" t="s">
        <v>21</v>
      </c>
      <c r="G4" s="6" t="s">
        <v>22</v>
      </c>
      <c r="H4" s="6" t="s">
        <v>23</v>
      </c>
      <c r="I4" s="6">
        <v>65</v>
      </c>
      <c r="J4" s="6" t="s">
        <v>57</v>
      </c>
      <c r="K4" s="8" t="s">
        <v>24</v>
      </c>
      <c r="L4" s="6" t="s">
        <v>26</v>
      </c>
      <c r="M4" s="6" t="s">
        <v>36</v>
      </c>
      <c r="N4" s="6" t="s">
        <v>27</v>
      </c>
      <c r="O4" s="28">
        <v>600</v>
      </c>
      <c r="P4" s="27">
        <v>100</v>
      </c>
      <c r="Q4" s="27">
        <v>600</v>
      </c>
      <c r="R4" s="27">
        <v>100</v>
      </c>
      <c r="S4" s="4">
        <v>15</v>
      </c>
      <c r="T4" s="8" t="s">
        <v>28</v>
      </c>
    </row>
    <row r="5" spans="1:20" ht="24" customHeight="1" x14ac:dyDescent="0.25">
      <c r="A5" s="9">
        <v>4</v>
      </c>
      <c r="B5" s="10">
        <v>44652</v>
      </c>
      <c r="C5" s="11">
        <v>2022</v>
      </c>
      <c r="D5" s="12" t="s">
        <v>37</v>
      </c>
      <c r="E5" s="11">
        <v>1</v>
      </c>
      <c r="F5" s="11" t="s">
        <v>30</v>
      </c>
      <c r="G5" s="11" t="s">
        <v>22</v>
      </c>
      <c r="H5" s="11" t="s">
        <v>31</v>
      </c>
      <c r="I5" s="11">
        <v>44</v>
      </c>
      <c r="J5" s="11" t="s">
        <v>58</v>
      </c>
      <c r="K5" s="13" t="s">
        <v>38</v>
      </c>
      <c r="L5" s="11" t="s">
        <v>33</v>
      </c>
      <c r="M5" s="11" t="s">
        <v>39</v>
      </c>
      <c r="N5" s="11" t="s">
        <v>34</v>
      </c>
      <c r="O5" s="29">
        <v>400</v>
      </c>
      <c r="P5" s="30">
        <v>100</v>
      </c>
      <c r="Q5" s="30">
        <v>400</v>
      </c>
      <c r="R5" s="30">
        <v>100</v>
      </c>
      <c r="S5" s="9">
        <v>13</v>
      </c>
      <c r="T5" s="13" t="s">
        <v>28</v>
      </c>
    </row>
    <row r="6" spans="1:20" ht="24" customHeight="1" x14ac:dyDescent="0.25">
      <c r="A6" s="4">
        <v>5</v>
      </c>
      <c r="B6" s="5">
        <v>44682</v>
      </c>
      <c r="C6" s="6">
        <v>2022</v>
      </c>
      <c r="D6" s="7" t="s">
        <v>40</v>
      </c>
      <c r="E6" s="6">
        <v>1</v>
      </c>
      <c r="F6" s="6" t="s">
        <v>21</v>
      </c>
      <c r="G6" s="6" t="s">
        <v>41</v>
      </c>
      <c r="H6" s="6" t="s">
        <v>23</v>
      </c>
      <c r="I6" s="6">
        <v>65</v>
      </c>
      <c r="J6" s="6" t="s">
        <v>57</v>
      </c>
      <c r="K6" s="8" t="s">
        <v>38</v>
      </c>
      <c r="L6" s="6" t="s">
        <v>42</v>
      </c>
      <c r="M6" s="6" t="s">
        <v>39</v>
      </c>
      <c r="N6" s="6" t="s">
        <v>27</v>
      </c>
      <c r="O6" s="28">
        <v>600</v>
      </c>
      <c r="P6" s="27">
        <v>100</v>
      </c>
      <c r="Q6" s="27">
        <v>600</v>
      </c>
      <c r="R6" s="27">
        <v>100</v>
      </c>
      <c r="S6" s="4">
        <v>12</v>
      </c>
      <c r="T6" s="8" t="s">
        <v>28</v>
      </c>
    </row>
    <row r="7" spans="1:20" ht="24" customHeight="1" x14ac:dyDescent="0.25">
      <c r="A7" s="9">
        <v>6</v>
      </c>
      <c r="B7" s="10">
        <v>44713</v>
      </c>
      <c r="C7" s="11">
        <v>2022</v>
      </c>
      <c r="D7" s="12" t="s">
        <v>43</v>
      </c>
      <c r="E7" s="11">
        <v>1</v>
      </c>
      <c r="F7" s="11" t="s">
        <v>30</v>
      </c>
      <c r="G7" s="11" t="s">
        <v>22</v>
      </c>
      <c r="H7" s="11" t="s">
        <v>31</v>
      </c>
      <c r="I7" s="11">
        <v>80</v>
      </c>
      <c r="J7" s="11" t="s">
        <v>57</v>
      </c>
      <c r="K7" s="13" t="s">
        <v>38</v>
      </c>
      <c r="L7" s="11" t="s">
        <v>44</v>
      </c>
      <c r="M7" s="11" t="s">
        <v>42</v>
      </c>
      <c r="N7" s="11" t="s">
        <v>34</v>
      </c>
      <c r="O7" s="29">
        <v>800</v>
      </c>
      <c r="P7" s="30">
        <v>100</v>
      </c>
      <c r="Q7" s="30">
        <v>800</v>
      </c>
      <c r="R7" s="30">
        <v>100</v>
      </c>
      <c r="S7" s="9">
        <v>11</v>
      </c>
      <c r="T7" s="13" t="s">
        <v>28</v>
      </c>
    </row>
    <row r="8" spans="1:20" ht="24" customHeight="1" x14ac:dyDescent="0.25">
      <c r="A8" s="4">
        <v>7</v>
      </c>
      <c r="B8" s="5">
        <v>44743</v>
      </c>
      <c r="C8" s="6">
        <v>2022</v>
      </c>
      <c r="D8" s="7" t="s">
        <v>45</v>
      </c>
      <c r="E8" s="6">
        <v>1</v>
      </c>
      <c r="F8" s="6" t="s">
        <v>21</v>
      </c>
      <c r="G8" s="6" t="s">
        <v>41</v>
      </c>
      <c r="H8" s="6" t="s">
        <v>23</v>
      </c>
      <c r="I8" s="6">
        <v>25</v>
      </c>
      <c r="J8" s="6" t="s">
        <v>56</v>
      </c>
      <c r="K8" s="8" t="s">
        <v>38</v>
      </c>
      <c r="L8" s="6" t="s">
        <v>46</v>
      </c>
      <c r="M8" s="6" t="s">
        <v>39</v>
      </c>
      <c r="N8" s="6" t="s">
        <v>27</v>
      </c>
      <c r="O8" s="28">
        <v>400</v>
      </c>
      <c r="P8" s="27">
        <v>150</v>
      </c>
      <c r="Q8" s="27">
        <v>400</v>
      </c>
      <c r="R8" s="27">
        <v>150</v>
      </c>
      <c r="S8" s="4">
        <v>18</v>
      </c>
      <c r="T8" s="8" t="s">
        <v>28</v>
      </c>
    </row>
    <row r="9" spans="1:20" ht="24" customHeight="1" x14ac:dyDescent="0.25">
      <c r="A9" s="9">
        <v>8</v>
      </c>
      <c r="B9" s="10">
        <v>44774</v>
      </c>
      <c r="C9" s="11">
        <v>2022</v>
      </c>
      <c r="D9" s="12" t="s">
        <v>47</v>
      </c>
      <c r="E9" s="11">
        <v>1</v>
      </c>
      <c r="F9" s="11" t="s">
        <v>30</v>
      </c>
      <c r="G9" s="11" t="s">
        <v>41</v>
      </c>
      <c r="H9" s="11" t="s">
        <v>31</v>
      </c>
      <c r="I9" s="11">
        <v>25</v>
      </c>
      <c r="J9" s="11" t="s">
        <v>56</v>
      </c>
      <c r="K9" s="13" t="s">
        <v>24</v>
      </c>
      <c r="L9" s="11" t="s">
        <v>26</v>
      </c>
      <c r="M9" s="11" t="s">
        <v>33</v>
      </c>
      <c r="N9" s="11" t="s">
        <v>34</v>
      </c>
      <c r="O9" s="29">
        <v>400</v>
      </c>
      <c r="P9" s="30">
        <v>100</v>
      </c>
      <c r="Q9" s="30">
        <v>400</v>
      </c>
      <c r="R9" s="30">
        <v>100</v>
      </c>
      <c r="S9" s="9">
        <v>13</v>
      </c>
      <c r="T9" s="13" t="s">
        <v>48</v>
      </c>
    </row>
    <row r="10" spans="1:20" ht="24" customHeight="1" x14ac:dyDescent="0.25">
      <c r="A10" s="4">
        <v>9</v>
      </c>
      <c r="B10" s="5">
        <v>44805</v>
      </c>
      <c r="C10" s="6">
        <v>2022</v>
      </c>
      <c r="D10" s="7" t="s">
        <v>49</v>
      </c>
      <c r="E10" s="6">
        <v>1</v>
      </c>
      <c r="F10" s="6" t="s">
        <v>21</v>
      </c>
      <c r="G10" s="6" t="s">
        <v>41</v>
      </c>
      <c r="H10" s="6" t="s">
        <v>23</v>
      </c>
      <c r="I10" s="6">
        <v>25</v>
      </c>
      <c r="J10" s="6" t="s">
        <v>56</v>
      </c>
      <c r="K10" s="8" t="s">
        <v>38</v>
      </c>
      <c r="L10" s="6" t="s">
        <v>33</v>
      </c>
      <c r="M10" s="6" t="s">
        <v>50</v>
      </c>
      <c r="N10" s="6" t="s">
        <v>27</v>
      </c>
      <c r="O10" s="28">
        <v>400</v>
      </c>
      <c r="P10" s="27">
        <v>100</v>
      </c>
      <c r="Q10" s="27">
        <v>400</v>
      </c>
      <c r="R10" s="27">
        <v>100</v>
      </c>
      <c r="S10" s="4">
        <v>15</v>
      </c>
      <c r="T10" s="8" t="s">
        <v>48</v>
      </c>
    </row>
    <row r="11" spans="1:20" ht="24" customHeight="1" x14ac:dyDescent="0.25">
      <c r="A11" s="9">
        <v>10</v>
      </c>
      <c r="B11" s="10">
        <v>44835</v>
      </c>
      <c r="C11" s="11">
        <v>2022</v>
      </c>
      <c r="D11" s="12" t="s">
        <v>51</v>
      </c>
      <c r="E11" s="11">
        <v>1</v>
      </c>
      <c r="F11" s="11" t="s">
        <v>30</v>
      </c>
      <c r="G11" s="11" t="s">
        <v>22</v>
      </c>
      <c r="H11" s="11" t="s">
        <v>31</v>
      </c>
      <c r="I11" s="11">
        <v>25</v>
      </c>
      <c r="J11" s="11" t="s">
        <v>56</v>
      </c>
      <c r="K11" s="13" t="s">
        <v>38</v>
      </c>
      <c r="L11" s="11" t="s">
        <v>52</v>
      </c>
      <c r="M11" s="11" t="s">
        <v>39</v>
      </c>
      <c r="N11" s="11" t="s">
        <v>34</v>
      </c>
      <c r="O11" s="29">
        <v>400</v>
      </c>
      <c r="P11" s="30">
        <v>200</v>
      </c>
      <c r="Q11" s="30">
        <v>400</v>
      </c>
      <c r="R11" s="30">
        <v>200</v>
      </c>
      <c r="S11" s="9">
        <v>14</v>
      </c>
      <c r="T11" s="13" t="s">
        <v>28</v>
      </c>
    </row>
    <row r="12" spans="1:20" ht="24" customHeight="1" x14ac:dyDescent="0.25">
      <c r="A12" s="4">
        <v>11</v>
      </c>
      <c r="B12" s="5">
        <v>44866</v>
      </c>
      <c r="C12" s="6">
        <v>2022</v>
      </c>
      <c r="D12" s="7" t="s">
        <v>53</v>
      </c>
      <c r="E12" s="6">
        <v>1</v>
      </c>
      <c r="F12" s="6" t="s">
        <v>21</v>
      </c>
      <c r="G12" s="6" t="s">
        <v>22</v>
      </c>
      <c r="H12" s="6" t="s">
        <v>23</v>
      </c>
      <c r="I12" s="6">
        <v>25</v>
      </c>
      <c r="J12" s="6" t="s">
        <v>56</v>
      </c>
      <c r="K12" s="8" t="s">
        <v>38</v>
      </c>
      <c r="L12" s="6" t="s">
        <v>25</v>
      </c>
      <c r="M12" s="6" t="s">
        <v>26</v>
      </c>
      <c r="N12" s="6" t="s">
        <v>27</v>
      </c>
      <c r="O12" s="28">
        <v>400</v>
      </c>
      <c r="P12" s="27">
        <v>400</v>
      </c>
      <c r="Q12" s="27">
        <v>400</v>
      </c>
      <c r="R12" s="27">
        <v>400</v>
      </c>
      <c r="S12" s="4">
        <v>12</v>
      </c>
      <c r="T12" s="8" t="s">
        <v>28</v>
      </c>
    </row>
    <row r="13" spans="1:20" ht="24" customHeight="1" x14ac:dyDescent="0.25">
      <c r="A13" s="9">
        <v>12</v>
      </c>
      <c r="B13" s="10">
        <v>44896</v>
      </c>
      <c r="C13" s="11">
        <v>2022</v>
      </c>
      <c r="D13" s="12" t="s">
        <v>54</v>
      </c>
      <c r="E13" s="11">
        <v>1</v>
      </c>
      <c r="F13" s="11" t="s">
        <v>30</v>
      </c>
      <c r="G13" s="11" t="s">
        <v>22</v>
      </c>
      <c r="H13" s="11" t="s">
        <v>31</v>
      </c>
      <c r="I13" s="11">
        <v>15</v>
      </c>
      <c r="J13" s="11" t="s">
        <v>56</v>
      </c>
      <c r="K13" s="13" t="s">
        <v>38</v>
      </c>
      <c r="L13" s="11" t="s">
        <v>55</v>
      </c>
      <c r="M13" s="11" t="s">
        <v>33</v>
      </c>
      <c r="N13" s="11" t="s">
        <v>34</v>
      </c>
      <c r="O13" s="29">
        <v>400</v>
      </c>
      <c r="P13" s="30">
        <v>100</v>
      </c>
      <c r="Q13" s="30">
        <v>400</v>
      </c>
      <c r="R13" s="30">
        <v>100</v>
      </c>
      <c r="S13" s="9">
        <v>9</v>
      </c>
      <c r="T13" s="13" t="s">
        <v>28</v>
      </c>
    </row>
    <row r="14" spans="1:20" ht="24" customHeight="1" x14ac:dyDescent="0.25">
      <c r="A14" s="4">
        <v>13</v>
      </c>
      <c r="B14" s="5">
        <v>44562</v>
      </c>
      <c r="C14" s="6">
        <v>2022</v>
      </c>
      <c r="D14" s="7" t="s">
        <v>20</v>
      </c>
      <c r="E14" s="6">
        <v>1</v>
      </c>
      <c r="F14" s="6" t="s">
        <v>21</v>
      </c>
      <c r="G14" s="6" t="s">
        <v>22</v>
      </c>
      <c r="H14" s="6" t="s">
        <v>23</v>
      </c>
      <c r="I14" s="6">
        <v>25</v>
      </c>
      <c r="J14" s="6" t="s">
        <v>56</v>
      </c>
      <c r="K14" s="8" t="s">
        <v>24</v>
      </c>
      <c r="L14" s="6" t="s">
        <v>25</v>
      </c>
      <c r="M14" s="6" t="s">
        <v>26</v>
      </c>
      <c r="N14" s="6" t="s">
        <v>27</v>
      </c>
      <c r="O14" s="28">
        <v>400</v>
      </c>
      <c r="P14" s="27">
        <v>400</v>
      </c>
      <c r="Q14" s="27">
        <v>400</v>
      </c>
      <c r="R14" s="27">
        <v>400</v>
      </c>
      <c r="S14" s="4">
        <v>14</v>
      </c>
      <c r="T14" s="8" t="s">
        <v>28</v>
      </c>
    </row>
    <row r="15" spans="1:20" ht="24" customHeight="1" x14ac:dyDescent="0.25">
      <c r="A15" s="9">
        <v>14</v>
      </c>
      <c r="B15" s="10">
        <v>44593</v>
      </c>
      <c r="C15" s="11">
        <v>2022</v>
      </c>
      <c r="D15" s="12" t="s">
        <v>29</v>
      </c>
      <c r="E15" s="11">
        <v>1</v>
      </c>
      <c r="F15" s="11" t="s">
        <v>30</v>
      </c>
      <c r="G15" s="11" t="s">
        <v>22</v>
      </c>
      <c r="H15" s="11" t="s">
        <v>31</v>
      </c>
      <c r="I15" s="11">
        <v>15</v>
      </c>
      <c r="J15" s="11" t="s">
        <v>56</v>
      </c>
      <c r="K15" s="13" t="s">
        <v>24</v>
      </c>
      <c r="L15" s="11" t="s">
        <v>32</v>
      </c>
      <c r="M15" s="11" t="s">
        <v>33</v>
      </c>
      <c r="N15" s="11" t="s">
        <v>34</v>
      </c>
      <c r="O15" s="29">
        <v>400</v>
      </c>
      <c r="P15" s="30">
        <v>100</v>
      </c>
      <c r="Q15" s="30">
        <v>400</v>
      </c>
      <c r="R15" s="30">
        <v>100</v>
      </c>
      <c r="S15" s="9">
        <v>11</v>
      </c>
      <c r="T15" s="13" t="s">
        <v>48</v>
      </c>
    </row>
    <row r="16" spans="1:20" ht="24" customHeight="1" x14ac:dyDescent="0.25">
      <c r="A16" s="4">
        <v>15</v>
      </c>
      <c r="B16" s="5">
        <v>44621</v>
      </c>
      <c r="C16" s="6">
        <v>2022</v>
      </c>
      <c r="D16" s="7" t="s">
        <v>35</v>
      </c>
      <c r="E16" s="6">
        <v>1</v>
      </c>
      <c r="F16" s="6" t="s">
        <v>21</v>
      </c>
      <c r="G16" s="6" t="s">
        <v>22</v>
      </c>
      <c r="H16" s="6" t="s">
        <v>23</v>
      </c>
      <c r="I16" s="6">
        <v>65</v>
      </c>
      <c r="J16" s="6" t="s">
        <v>57</v>
      </c>
      <c r="K16" s="8" t="s">
        <v>24</v>
      </c>
      <c r="L16" s="6" t="s">
        <v>26</v>
      </c>
      <c r="M16" s="6" t="s">
        <v>36</v>
      </c>
      <c r="N16" s="6" t="s">
        <v>27</v>
      </c>
      <c r="O16" s="28">
        <v>600</v>
      </c>
      <c r="P16" s="27">
        <v>100</v>
      </c>
      <c r="Q16" s="27">
        <v>600</v>
      </c>
      <c r="R16" s="27">
        <v>100</v>
      </c>
      <c r="S16" s="4">
        <v>15</v>
      </c>
      <c r="T16" s="8" t="s">
        <v>28</v>
      </c>
    </row>
    <row r="17" spans="1:20" ht="24" customHeight="1" x14ac:dyDescent="0.25">
      <c r="A17" s="9">
        <v>16</v>
      </c>
      <c r="B17" s="10">
        <v>44621</v>
      </c>
      <c r="C17" s="11">
        <v>2022</v>
      </c>
      <c r="D17" s="12" t="s">
        <v>35</v>
      </c>
      <c r="E17" s="11">
        <v>1</v>
      </c>
      <c r="F17" s="11" t="s">
        <v>30</v>
      </c>
      <c r="G17" s="11" t="s">
        <v>22</v>
      </c>
      <c r="H17" s="11" t="s">
        <v>31</v>
      </c>
      <c r="I17" s="11">
        <v>44</v>
      </c>
      <c r="J17" s="11" t="s">
        <v>58</v>
      </c>
      <c r="K17" s="13" t="s">
        <v>38</v>
      </c>
      <c r="L17" s="11" t="s">
        <v>33</v>
      </c>
      <c r="M17" s="11" t="s">
        <v>39</v>
      </c>
      <c r="N17" s="11" t="s">
        <v>34</v>
      </c>
      <c r="O17" s="29">
        <v>400</v>
      </c>
      <c r="P17" s="30">
        <v>100</v>
      </c>
      <c r="Q17" s="30"/>
      <c r="R17" s="30"/>
      <c r="S17" s="9">
        <v>13</v>
      </c>
      <c r="T17" s="13" t="s">
        <v>28</v>
      </c>
    </row>
    <row r="18" spans="1:20" ht="24" customHeight="1" x14ac:dyDescent="0.25">
      <c r="A18" s="4">
        <v>17</v>
      </c>
      <c r="B18" s="5">
        <v>44621</v>
      </c>
      <c r="C18" s="6">
        <v>2022</v>
      </c>
      <c r="D18" s="7" t="s">
        <v>35</v>
      </c>
      <c r="E18" s="6">
        <v>1</v>
      </c>
      <c r="F18" s="6" t="s">
        <v>21</v>
      </c>
      <c r="G18" s="6" t="s">
        <v>41</v>
      </c>
      <c r="H18" s="6" t="s">
        <v>23</v>
      </c>
      <c r="I18" s="6">
        <v>65</v>
      </c>
      <c r="J18" s="6" t="s">
        <v>57</v>
      </c>
      <c r="K18" s="8" t="s">
        <v>38</v>
      </c>
      <c r="L18" s="6" t="s">
        <v>42</v>
      </c>
      <c r="M18" s="6" t="s">
        <v>39</v>
      </c>
      <c r="N18" s="6" t="s">
        <v>27</v>
      </c>
      <c r="O18" s="28">
        <v>600</v>
      </c>
      <c r="P18" s="27">
        <v>100</v>
      </c>
      <c r="Q18" s="27"/>
      <c r="R18" s="27"/>
      <c r="S18" s="4">
        <v>12</v>
      </c>
      <c r="T18" s="8" t="s">
        <v>28</v>
      </c>
    </row>
    <row r="19" spans="1:20" ht="24" customHeight="1" x14ac:dyDescent="0.25">
      <c r="A19" s="9">
        <v>18</v>
      </c>
      <c r="B19" s="10">
        <v>44713</v>
      </c>
      <c r="C19" s="11">
        <v>2022</v>
      </c>
      <c r="D19" s="12" t="s">
        <v>43</v>
      </c>
      <c r="E19" s="11">
        <v>1</v>
      </c>
      <c r="F19" s="11" t="s">
        <v>30</v>
      </c>
      <c r="G19" s="11" t="s">
        <v>41</v>
      </c>
      <c r="H19" s="11" t="s">
        <v>31</v>
      </c>
      <c r="I19" s="11">
        <v>80</v>
      </c>
      <c r="J19" s="11" t="s">
        <v>57</v>
      </c>
      <c r="K19" s="13" t="s">
        <v>38</v>
      </c>
      <c r="L19" s="11" t="s">
        <v>44</v>
      </c>
      <c r="M19" s="11" t="s">
        <v>42</v>
      </c>
      <c r="N19" s="11" t="s">
        <v>34</v>
      </c>
      <c r="O19" s="29">
        <v>800</v>
      </c>
      <c r="P19" s="30">
        <v>100</v>
      </c>
      <c r="Q19" s="30">
        <v>800</v>
      </c>
      <c r="R19" s="30">
        <v>100</v>
      </c>
      <c r="S19" s="9">
        <v>11</v>
      </c>
      <c r="T19" s="13" t="s">
        <v>28</v>
      </c>
    </row>
    <row r="20" spans="1:20" ht="24" customHeight="1" x14ac:dyDescent="0.25">
      <c r="A20" s="4">
        <v>19</v>
      </c>
      <c r="B20" s="5">
        <v>44743</v>
      </c>
      <c r="C20" s="6">
        <v>2022</v>
      </c>
      <c r="D20" s="7" t="s">
        <v>45</v>
      </c>
      <c r="E20" s="6">
        <v>1</v>
      </c>
      <c r="F20" s="6" t="s">
        <v>21</v>
      </c>
      <c r="G20" s="6" t="s">
        <v>41</v>
      </c>
      <c r="H20" s="6" t="s">
        <v>23</v>
      </c>
      <c r="I20" s="6">
        <v>25</v>
      </c>
      <c r="J20" s="6" t="s">
        <v>56</v>
      </c>
      <c r="K20" s="8" t="s">
        <v>38</v>
      </c>
      <c r="L20" s="6" t="s">
        <v>46</v>
      </c>
      <c r="M20" s="6" t="s">
        <v>39</v>
      </c>
      <c r="N20" s="6" t="s">
        <v>27</v>
      </c>
      <c r="O20" s="28">
        <v>400</v>
      </c>
      <c r="P20" s="27">
        <v>150</v>
      </c>
      <c r="Q20" s="27">
        <v>400</v>
      </c>
      <c r="R20" s="27">
        <v>150</v>
      </c>
      <c r="S20" s="4">
        <v>18</v>
      </c>
      <c r="T20" s="8" t="s">
        <v>28</v>
      </c>
    </row>
    <row r="21" spans="1:20" ht="24" customHeight="1" x14ac:dyDescent="0.25">
      <c r="A21" s="9">
        <v>20</v>
      </c>
      <c r="B21" s="10">
        <v>44774</v>
      </c>
      <c r="C21" s="11">
        <v>2022</v>
      </c>
      <c r="D21" s="12" t="s">
        <v>47</v>
      </c>
      <c r="E21" s="11">
        <v>1</v>
      </c>
      <c r="F21" s="11" t="s">
        <v>30</v>
      </c>
      <c r="G21" s="11" t="s">
        <v>41</v>
      </c>
      <c r="H21" s="11" t="s">
        <v>31</v>
      </c>
      <c r="I21" s="11">
        <v>25</v>
      </c>
      <c r="J21" s="11" t="s">
        <v>56</v>
      </c>
      <c r="K21" s="13" t="s">
        <v>24</v>
      </c>
      <c r="L21" s="11" t="s">
        <v>26</v>
      </c>
      <c r="M21" s="11" t="s">
        <v>33</v>
      </c>
      <c r="N21" s="11" t="s">
        <v>34</v>
      </c>
      <c r="O21" s="29">
        <v>400</v>
      </c>
      <c r="P21" s="30">
        <v>100</v>
      </c>
      <c r="Q21" s="30">
        <v>400</v>
      </c>
      <c r="R21" s="30">
        <v>100</v>
      </c>
      <c r="S21" s="9">
        <v>13</v>
      </c>
      <c r="T21" s="13" t="s">
        <v>48</v>
      </c>
    </row>
    <row r="22" spans="1:20" ht="24" customHeight="1" x14ac:dyDescent="0.25">
      <c r="A22" s="4">
        <v>21</v>
      </c>
      <c r="B22" s="5">
        <v>44774</v>
      </c>
      <c r="C22" s="6">
        <v>2022</v>
      </c>
      <c r="D22" s="7" t="s">
        <v>47</v>
      </c>
      <c r="E22" s="6">
        <v>1</v>
      </c>
      <c r="F22" s="6" t="s">
        <v>21</v>
      </c>
      <c r="G22" s="6" t="s">
        <v>41</v>
      </c>
      <c r="H22" s="6" t="s">
        <v>23</v>
      </c>
      <c r="I22" s="6">
        <v>25</v>
      </c>
      <c r="J22" s="6" t="s">
        <v>56</v>
      </c>
      <c r="K22" s="8" t="s">
        <v>38</v>
      </c>
      <c r="L22" s="6" t="s">
        <v>33</v>
      </c>
      <c r="M22" s="6" t="s">
        <v>50</v>
      </c>
      <c r="N22" s="6" t="s">
        <v>27</v>
      </c>
      <c r="O22" s="28">
        <v>400</v>
      </c>
      <c r="P22" s="27">
        <v>100</v>
      </c>
      <c r="Q22" s="27"/>
      <c r="R22" s="27"/>
      <c r="S22" s="4">
        <v>15</v>
      </c>
      <c r="T22" s="8" t="s">
        <v>48</v>
      </c>
    </row>
    <row r="23" spans="1:20" ht="24" customHeight="1" x14ac:dyDescent="0.25">
      <c r="A23" s="9">
        <v>22</v>
      </c>
      <c r="B23" s="10">
        <v>44835</v>
      </c>
      <c r="C23" s="11">
        <v>2022</v>
      </c>
      <c r="D23" s="12" t="s">
        <v>51</v>
      </c>
      <c r="E23" s="11">
        <v>1</v>
      </c>
      <c r="F23" s="11" t="s">
        <v>30</v>
      </c>
      <c r="G23" s="11" t="s">
        <v>22</v>
      </c>
      <c r="H23" s="11" t="s">
        <v>31</v>
      </c>
      <c r="I23" s="11">
        <v>25</v>
      </c>
      <c r="J23" s="11" t="s">
        <v>56</v>
      </c>
      <c r="K23" s="13" t="s">
        <v>38</v>
      </c>
      <c r="L23" s="11" t="s">
        <v>52</v>
      </c>
      <c r="M23" s="11" t="s">
        <v>39</v>
      </c>
      <c r="N23" s="11" t="s">
        <v>34</v>
      </c>
      <c r="O23" s="29">
        <v>400</v>
      </c>
      <c r="P23" s="30">
        <v>200</v>
      </c>
      <c r="Q23" s="30">
        <v>400</v>
      </c>
      <c r="R23" s="30">
        <v>200</v>
      </c>
      <c r="S23" s="9">
        <v>14</v>
      </c>
      <c r="T23" s="13" t="s">
        <v>28</v>
      </c>
    </row>
    <row r="24" spans="1:20" ht="24" customHeight="1" x14ac:dyDescent="0.25">
      <c r="A24" s="4">
        <v>23</v>
      </c>
      <c r="B24" s="5">
        <v>44835</v>
      </c>
      <c r="C24" s="6">
        <v>2022</v>
      </c>
      <c r="D24" s="7" t="s">
        <v>51</v>
      </c>
      <c r="E24" s="6">
        <v>1</v>
      </c>
      <c r="F24" s="6" t="s">
        <v>21</v>
      </c>
      <c r="G24" s="6" t="s">
        <v>22</v>
      </c>
      <c r="H24" s="6" t="s">
        <v>23</v>
      </c>
      <c r="I24" s="6">
        <v>25</v>
      </c>
      <c r="J24" s="6" t="s">
        <v>56</v>
      </c>
      <c r="K24" s="8" t="s">
        <v>38</v>
      </c>
      <c r="L24" s="6" t="s">
        <v>25</v>
      </c>
      <c r="M24" s="6" t="s">
        <v>26</v>
      </c>
      <c r="N24" s="6" t="s">
        <v>27</v>
      </c>
      <c r="O24" s="28">
        <v>400</v>
      </c>
      <c r="P24" s="27">
        <v>400</v>
      </c>
      <c r="Q24" s="27"/>
      <c r="R24" s="27"/>
      <c r="S24" s="4">
        <v>12</v>
      </c>
      <c r="T24" s="8" t="s">
        <v>28</v>
      </c>
    </row>
    <row r="25" spans="1:20" ht="24" customHeight="1" x14ac:dyDescent="0.25">
      <c r="A25" s="9">
        <v>24</v>
      </c>
      <c r="B25" s="10">
        <v>44835</v>
      </c>
      <c r="C25" s="11">
        <v>2022</v>
      </c>
      <c r="D25" s="12" t="s">
        <v>51</v>
      </c>
      <c r="E25" s="11">
        <v>1</v>
      </c>
      <c r="F25" s="11" t="s">
        <v>30</v>
      </c>
      <c r="G25" s="11" t="s">
        <v>22</v>
      </c>
      <c r="H25" s="11" t="s">
        <v>31</v>
      </c>
      <c r="I25" s="11">
        <v>15</v>
      </c>
      <c r="J25" s="11" t="s">
        <v>56</v>
      </c>
      <c r="K25" s="13" t="s">
        <v>38</v>
      </c>
      <c r="L25" s="11" t="s">
        <v>55</v>
      </c>
      <c r="M25" s="11" t="s">
        <v>33</v>
      </c>
      <c r="N25" s="11" t="s">
        <v>34</v>
      </c>
      <c r="O25" s="29">
        <v>400</v>
      </c>
      <c r="P25" s="30">
        <v>100</v>
      </c>
      <c r="Q25" s="30"/>
      <c r="R25" s="30"/>
      <c r="S25" s="9">
        <v>9</v>
      </c>
      <c r="T25" s="13"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8421B-A308-4745-85EC-2F02FA5179DE}">
  <dimension ref="A1"/>
  <sheetViews>
    <sheetView zoomScale="80" zoomScaleNormal="80" workbookViewId="0"/>
  </sheetViews>
  <sheetFormatPr defaultRowHeight="15.75" x14ac:dyDescent="0.25"/>
  <cols>
    <col min="1" max="16384" width="9"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6059A-31D8-46E4-811F-E21D3B4D6966}">
  <dimension ref="E15:O41"/>
  <sheetViews>
    <sheetView tabSelected="1" zoomScale="80" zoomScaleNormal="80" workbookViewId="0">
      <selection activeCell="E2" sqref="E2"/>
    </sheetView>
  </sheetViews>
  <sheetFormatPr defaultRowHeight="15.75" x14ac:dyDescent="0.25"/>
  <cols>
    <col min="1" max="5" width="9" style="14"/>
    <col min="6" max="6" width="9" style="14" customWidth="1"/>
    <col min="7" max="7" width="9" style="50" customWidth="1"/>
    <col min="8" max="10" width="9" style="14"/>
    <col min="11" max="13" width="9" style="14" customWidth="1"/>
    <col min="14" max="14" width="9" style="14"/>
    <col min="15" max="15" width="9.375" style="14" bestFit="1" customWidth="1"/>
    <col min="16" max="16384" width="9" style="14"/>
  </cols>
  <sheetData>
    <row r="15" spans="5:5" x14ac:dyDescent="0.25">
      <c r="E15" s="55"/>
    </row>
    <row r="17" spans="9:15" x14ac:dyDescent="0.25">
      <c r="I17" s="54" t="s">
        <v>89</v>
      </c>
      <c r="J17" s="54" t="s">
        <v>1</v>
      </c>
      <c r="K17" s="54" t="s">
        <v>5</v>
      </c>
      <c r="L17" s="54" t="s">
        <v>90</v>
      </c>
      <c r="M17" s="54" t="s">
        <v>11</v>
      </c>
      <c r="N17" s="54" t="s">
        <v>12</v>
      </c>
      <c r="O17" s="54" t="s">
        <v>13</v>
      </c>
    </row>
    <row r="18" spans="9:15" x14ac:dyDescent="0.25">
      <c r="I18" s="51">
        <v>1</v>
      </c>
      <c r="J18" s="52">
        <v>44562</v>
      </c>
      <c r="K18" s="53" t="s">
        <v>21</v>
      </c>
      <c r="L18" s="53" t="s">
        <v>23</v>
      </c>
      <c r="M18" s="53" t="s">
        <v>25</v>
      </c>
      <c r="N18" s="53" t="s">
        <v>26</v>
      </c>
      <c r="O18" s="53" t="s">
        <v>27</v>
      </c>
    </row>
    <row r="19" spans="9:15" x14ac:dyDescent="0.25">
      <c r="I19" s="51">
        <v>2</v>
      </c>
      <c r="J19" s="52">
        <v>44593</v>
      </c>
      <c r="K19" s="53" t="s">
        <v>30</v>
      </c>
      <c r="L19" s="53" t="s">
        <v>31</v>
      </c>
      <c r="M19" s="53" t="s">
        <v>32</v>
      </c>
      <c r="N19" s="53" t="s">
        <v>33</v>
      </c>
      <c r="O19" s="53" t="s">
        <v>34</v>
      </c>
    </row>
    <row r="20" spans="9:15" x14ac:dyDescent="0.25">
      <c r="I20" s="51">
        <v>3</v>
      </c>
      <c r="J20" s="52">
        <v>44621</v>
      </c>
      <c r="K20" s="53" t="s">
        <v>21</v>
      </c>
      <c r="L20" s="53" t="s">
        <v>23</v>
      </c>
      <c r="M20" s="53" t="s">
        <v>26</v>
      </c>
      <c r="N20" s="53" t="s">
        <v>36</v>
      </c>
      <c r="O20" s="53" t="s">
        <v>27</v>
      </c>
    </row>
    <row r="21" spans="9:15" x14ac:dyDescent="0.25">
      <c r="I21" s="51">
        <v>4</v>
      </c>
      <c r="J21" s="52">
        <v>44652</v>
      </c>
      <c r="K21" s="53" t="s">
        <v>30</v>
      </c>
      <c r="L21" s="53" t="s">
        <v>31</v>
      </c>
      <c r="M21" s="53" t="s">
        <v>33</v>
      </c>
      <c r="N21" s="53" t="s">
        <v>39</v>
      </c>
      <c r="O21" s="53" t="s">
        <v>34</v>
      </c>
    </row>
    <row r="22" spans="9:15" x14ac:dyDescent="0.25">
      <c r="I22" s="51">
        <v>5</v>
      </c>
      <c r="J22" s="52">
        <v>44682</v>
      </c>
      <c r="K22" s="53" t="s">
        <v>21</v>
      </c>
      <c r="L22" s="53" t="s">
        <v>23</v>
      </c>
      <c r="M22" s="53" t="s">
        <v>42</v>
      </c>
      <c r="N22" s="53" t="s">
        <v>39</v>
      </c>
      <c r="O22" s="53" t="s">
        <v>27</v>
      </c>
    </row>
    <row r="23" spans="9:15" x14ac:dyDescent="0.25">
      <c r="I23" s="51">
        <v>6</v>
      </c>
      <c r="J23" s="52">
        <v>44713</v>
      </c>
      <c r="K23" s="53" t="s">
        <v>30</v>
      </c>
      <c r="L23" s="53" t="s">
        <v>31</v>
      </c>
      <c r="M23" s="53" t="s">
        <v>44</v>
      </c>
      <c r="N23" s="53" t="s">
        <v>42</v>
      </c>
      <c r="O23" s="53" t="s">
        <v>34</v>
      </c>
    </row>
    <row r="24" spans="9:15" x14ac:dyDescent="0.25">
      <c r="I24" s="51">
        <v>7</v>
      </c>
      <c r="J24" s="52">
        <v>44743</v>
      </c>
      <c r="K24" s="53" t="s">
        <v>21</v>
      </c>
      <c r="L24" s="53" t="s">
        <v>23</v>
      </c>
      <c r="M24" s="53" t="s">
        <v>46</v>
      </c>
      <c r="N24" s="53" t="s">
        <v>39</v>
      </c>
      <c r="O24" s="53" t="s">
        <v>27</v>
      </c>
    </row>
    <row r="25" spans="9:15" x14ac:dyDescent="0.25">
      <c r="I25" s="51">
        <v>8</v>
      </c>
      <c r="J25" s="52">
        <v>44774</v>
      </c>
      <c r="K25" s="53" t="s">
        <v>30</v>
      </c>
      <c r="L25" s="53" t="s">
        <v>31</v>
      </c>
      <c r="M25" s="53" t="s">
        <v>26</v>
      </c>
      <c r="N25" s="53" t="s">
        <v>33</v>
      </c>
      <c r="O25" s="53" t="s">
        <v>34</v>
      </c>
    </row>
    <row r="26" spans="9:15" x14ac:dyDescent="0.25">
      <c r="I26" s="51">
        <v>9</v>
      </c>
      <c r="J26" s="52">
        <v>44805</v>
      </c>
      <c r="K26" s="53" t="s">
        <v>21</v>
      </c>
      <c r="L26" s="53" t="s">
        <v>23</v>
      </c>
      <c r="M26" s="53" t="s">
        <v>33</v>
      </c>
      <c r="N26" s="53" t="s">
        <v>50</v>
      </c>
      <c r="O26" s="53" t="s">
        <v>27</v>
      </c>
    </row>
    <row r="27" spans="9:15" x14ac:dyDescent="0.25">
      <c r="I27" s="51">
        <v>10</v>
      </c>
      <c r="J27" s="52">
        <v>44835</v>
      </c>
      <c r="K27" s="53" t="s">
        <v>30</v>
      </c>
      <c r="L27" s="53" t="s">
        <v>31</v>
      </c>
      <c r="M27" s="53" t="s">
        <v>52</v>
      </c>
      <c r="N27" s="53" t="s">
        <v>39</v>
      </c>
      <c r="O27" s="53" t="s">
        <v>34</v>
      </c>
    </row>
    <row r="28" spans="9:15" x14ac:dyDescent="0.25">
      <c r="I28" s="51">
        <v>11</v>
      </c>
      <c r="J28" s="52">
        <v>44866</v>
      </c>
      <c r="K28" s="53" t="s">
        <v>21</v>
      </c>
      <c r="L28" s="53" t="s">
        <v>23</v>
      </c>
      <c r="M28" s="53" t="s">
        <v>25</v>
      </c>
      <c r="N28" s="53" t="s">
        <v>26</v>
      </c>
      <c r="O28" s="53" t="s">
        <v>27</v>
      </c>
    </row>
    <row r="29" spans="9:15" x14ac:dyDescent="0.25">
      <c r="I29" s="51">
        <v>12</v>
      </c>
      <c r="J29" s="52">
        <v>44896</v>
      </c>
      <c r="K29" s="53" t="s">
        <v>30</v>
      </c>
      <c r="L29" s="53" t="s">
        <v>31</v>
      </c>
      <c r="M29" s="53" t="s">
        <v>55</v>
      </c>
      <c r="N29" s="53" t="s">
        <v>33</v>
      </c>
      <c r="O29" s="53" t="s">
        <v>34</v>
      </c>
    </row>
    <row r="30" spans="9:15" x14ac:dyDescent="0.25">
      <c r="I30" s="51">
        <v>13</v>
      </c>
      <c r="J30" s="52">
        <v>44562</v>
      </c>
      <c r="K30" s="53" t="s">
        <v>21</v>
      </c>
      <c r="L30" s="53" t="s">
        <v>23</v>
      </c>
      <c r="M30" s="53" t="s">
        <v>25</v>
      </c>
      <c r="N30" s="53" t="s">
        <v>26</v>
      </c>
      <c r="O30" s="53" t="s">
        <v>27</v>
      </c>
    </row>
    <row r="31" spans="9:15" x14ac:dyDescent="0.25">
      <c r="I31" s="51">
        <v>14</v>
      </c>
      <c r="J31" s="52">
        <v>44593</v>
      </c>
      <c r="K31" s="53" t="s">
        <v>30</v>
      </c>
      <c r="L31" s="53" t="s">
        <v>31</v>
      </c>
      <c r="M31" s="53" t="s">
        <v>32</v>
      </c>
      <c r="N31" s="53" t="s">
        <v>33</v>
      </c>
      <c r="O31" s="53" t="s">
        <v>34</v>
      </c>
    </row>
    <row r="32" spans="9:15" x14ac:dyDescent="0.25">
      <c r="I32" s="51">
        <v>15</v>
      </c>
      <c r="J32" s="52">
        <v>44621</v>
      </c>
      <c r="K32" s="53" t="s">
        <v>21</v>
      </c>
      <c r="L32" s="53" t="s">
        <v>23</v>
      </c>
      <c r="M32" s="53" t="s">
        <v>26</v>
      </c>
      <c r="N32" s="53" t="s">
        <v>36</v>
      </c>
      <c r="O32" s="53" t="s">
        <v>27</v>
      </c>
    </row>
    <row r="33" spans="9:15" x14ac:dyDescent="0.25">
      <c r="I33" s="51">
        <v>16</v>
      </c>
      <c r="J33" s="53">
        <v>44621</v>
      </c>
      <c r="K33" s="53" t="s">
        <v>30</v>
      </c>
      <c r="L33" s="53" t="s">
        <v>31</v>
      </c>
      <c r="M33" s="53" t="s">
        <v>33</v>
      </c>
      <c r="N33" s="53" t="s">
        <v>39</v>
      </c>
      <c r="O33" s="53" t="s">
        <v>34</v>
      </c>
    </row>
    <row r="34" spans="9:15" x14ac:dyDescent="0.25">
      <c r="I34" s="51">
        <v>17</v>
      </c>
      <c r="J34" s="53">
        <v>44621</v>
      </c>
      <c r="K34" s="53" t="s">
        <v>21</v>
      </c>
      <c r="L34" s="53" t="s">
        <v>23</v>
      </c>
      <c r="M34" s="53" t="s">
        <v>42</v>
      </c>
      <c r="N34" s="53" t="s">
        <v>39</v>
      </c>
      <c r="O34" s="53" t="s">
        <v>27</v>
      </c>
    </row>
    <row r="35" spans="9:15" x14ac:dyDescent="0.25">
      <c r="I35" s="51">
        <v>18</v>
      </c>
      <c r="J35" s="52">
        <v>44713</v>
      </c>
      <c r="K35" s="53" t="s">
        <v>30</v>
      </c>
      <c r="L35" s="53" t="s">
        <v>31</v>
      </c>
      <c r="M35" s="53" t="s">
        <v>44</v>
      </c>
      <c r="N35" s="53" t="s">
        <v>42</v>
      </c>
      <c r="O35" s="53" t="s">
        <v>34</v>
      </c>
    </row>
    <row r="36" spans="9:15" x14ac:dyDescent="0.25">
      <c r="I36" s="51">
        <v>19</v>
      </c>
      <c r="J36" s="52">
        <v>44743</v>
      </c>
      <c r="K36" s="53" t="s">
        <v>21</v>
      </c>
      <c r="L36" s="53" t="s">
        <v>23</v>
      </c>
      <c r="M36" s="53" t="s">
        <v>46</v>
      </c>
      <c r="N36" s="53" t="s">
        <v>39</v>
      </c>
      <c r="O36" s="53" t="s">
        <v>27</v>
      </c>
    </row>
    <row r="37" spans="9:15" x14ac:dyDescent="0.25">
      <c r="I37" s="51">
        <v>20</v>
      </c>
      <c r="J37" s="52">
        <v>44774</v>
      </c>
      <c r="K37" s="53" t="s">
        <v>30</v>
      </c>
      <c r="L37" s="53" t="s">
        <v>31</v>
      </c>
      <c r="M37" s="53" t="s">
        <v>26</v>
      </c>
      <c r="N37" s="53" t="s">
        <v>33</v>
      </c>
      <c r="O37" s="53" t="s">
        <v>34</v>
      </c>
    </row>
    <row r="38" spans="9:15" x14ac:dyDescent="0.25">
      <c r="I38" s="51">
        <v>21</v>
      </c>
      <c r="J38" s="53">
        <v>44774</v>
      </c>
      <c r="K38" s="53" t="s">
        <v>21</v>
      </c>
      <c r="L38" s="53" t="s">
        <v>23</v>
      </c>
      <c r="M38" s="53" t="s">
        <v>33</v>
      </c>
      <c r="N38" s="53" t="s">
        <v>50</v>
      </c>
      <c r="O38" s="53" t="s">
        <v>27</v>
      </c>
    </row>
    <row r="39" spans="9:15" x14ac:dyDescent="0.25">
      <c r="I39" s="51">
        <v>22</v>
      </c>
      <c r="J39" s="52">
        <v>44835</v>
      </c>
      <c r="K39" s="53" t="s">
        <v>30</v>
      </c>
      <c r="L39" s="53" t="s">
        <v>31</v>
      </c>
      <c r="M39" s="53" t="s">
        <v>52</v>
      </c>
      <c r="N39" s="53" t="s">
        <v>39</v>
      </c>
      <c r="O39" s="53" t="s">
        <v>34</v>
      </c>
    </row>
    <row r="40" spans="9:15" x14ac:dyDescent="0.25">
      <c r="I40" s="51">
        <v>23</v>
      </c>
      <c r="J40" s="53">
        <v>44835</v>
      </c>
      <c r="K40" s="53" t="s">
        <v>21</v>
      </c>
      <c r="L40" s="53" t="s">
        <v>23</v>
      </c>
      <c r="M40" s="53" t="s">
        <v>25</v>
      </c>
      <c r="N40" s="53" t="s">
        <v>26</v>
      </c>
      <c r="O40" s="53" t="s">
        <v>27</v>
      </c>
    </row>
    <row r="41" spans="9:15" x14ac:dyDescent="0.25">
      <c r="I41" s="51">
        <v>24</v>
      </c>
      <c r="J41" s="53">
        <v>44835</v>
      </c>
      <c r="K41" s="53" t="s">
        <v>30</v>
      </c>
      <c r="L41" s="53" t="s">
        <v>31</v>
      </c>
      <c r="M41" s="53" t="s">
        <v>55</v>
      </c>
      <c r="N41" s="53" t="s">
        <v>33</v>
      </c>
      <c r="O41" s="53" t="s">
        <v>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B87CA-46FD-499C-9E04-3669EDB743E2}">
  <dimension ref="B2:BV53"/>
  <sheetViews>
    <sheetView showGridLines="0" zoomScale="70" zoomScaleNormal="70" workbookViewId="0"/>
  </sheetViews>
  <sheetFormatPr defaultColWidth="16.75" defaultRowHeight="18.75" x14ac:dyDescent="0.25"/>
  <cols>
    <col min="1" max="1" width="16.75" style="15"/>
    <col min="2" max="2" width="11.375" style="15" bestFit="1" customWidth="1"/>
    <col min="3" max="3" width="16.75" style="15"/>
    <col min="4" max="4" width="15" style="15" bestFit="1" customWidth="1"/>
    <col min="5" max="5" width="31.375" style="15" bestFit="1" customWidth="1"/>
    <col min="6" max="10" width="16.75" style="15"/>
    <col min="11" max="11" width="15" style="15" bestFit="1" customWidth="1"/>
    <col min="12" max="12" width="22.625" style="15" bestFit="1" customWidth="1"/>
    <col min="13" max="16" width="16.75" style="15"/>
    <col min="19" max="19" width="16.375" style="15" bestFit="1" customWidth="1"/>
    <col min="20" max="21" width="26.375" style="15" bestFit="1" customWidth="1"/>
    <col min="24" max="24" width="16.375" style="15" bestFit="1" customWidth="1"/>
    <col min="25" max="25" width="17.875" style="15" bestFit="1" customWidth="1"/>
    <col min="26" max="26" width="24.75" style="15" bestFit="1" customWidth="1"/>
    <col min="27" max="27" width="16.75" style="15"/>
    <col min="28" max="28" width="24.75" style="15" bestFit="1" customWidth="1"/>
    <col min="29" max="29" width="17.875" style="15" bestFit="1" customWidth="1"/>
    <col min="30" max="30" width="23.875" style="15" bestFit="1" customWidth="1"/>
    <col min="31" max="32" width="16.75" style="15"/>
    <col min="34" max="34" width="16.75" style="15"/>
    <col min="36" max="36" width="22.25" style="15" bestFit="1" customWidth="1"/>
    <col min="37" max="39" width="16.75" style="15"/>
    <col min="41" max="41" width="6.125" style="15" bestFit="1" customWidth="1"/>
    <col min="42" max="42" width="16.375" style="15" bestFit="1" customWidth="1"/>
    <col min="43" max="43" width="21.75" style="15" bestFit="1" customWidth="1"/>
    <col min="44" max="44" width="23.125" style="15" bestFit="1" customWidth="1"/>
    <col min="45" max="45" width="16.375" style="15" bestFit="1" customWidth="1"/>
    <col min="46" max="46" width="23.75" style="15" bestFit="1" customWidth="1"/>
    <col min="47" max="47" width="29.625" style="15" bestFit="1" customWidth="1"/>
    <col min="48" max="48" width="17.625" style="15" bestFit="1" customWidth="1"/>
    <col min="49" max="49" width="17.75" style="15" bestFit="1" customWidth="1"/>
    <col min="50" max="50" width="6.5" style="15" bestFit="1" customWidth="1"/>
    <col min="51" max="51" width="6.25" style="15" bestFit="1" customWidth="1"/>
    <col min="52" max="52" width="14.375" style="15" bestFit="1" customWidth="1"/>
    <col min="53" max="53" width="16.375" style="15" bestFit="1" customWidth="1"/>
    <col min="54" max="54" width="11.375" style="15" bestFit="1" customWidth="1"/>
    <col min="55" max="55" width="29.625" style="15" bestFit="1" customWidth="1"/>
    <col min="56" max="56" width="16.375" style="15" bestFit="1" customWidth="1"/>
    <col min="57" max="57" width="20" style="15" bestFit="1" customWidth="1"/>
    <col min="58" max="58" width="7.75" style="15" bestFit="1" customWidth="1"/>
    <col min="59" max="59" width="10.875" style="15" bestFit="1" customWidth="1"/>
    <col min="60" max="60" width="7.75" style="15" bestFit="1" customWidth="1"/>
    <col min="61" max="61" width="11.875" style="15" bestFit="1" customWidth="1"/>
    <col min="62" max="62" width="9.75" style="15" bestFit="1" customWidth="1"/>
    <col min="63" max="63" width="14.375" style="15" bestFit="1" customWidth="1"/>
    <col min="64" max="64" width="26.375" style="15" bestFit="1" customWidth="1"/>
    <col min="65" max="65" width="14.25" style="15" bestFit="1" customWidth="1"/>
    <col min="66" max="66" width="30.25" style="47" bestFit="1" customWidth="1"/>
    <col min="67" max="68" width="10.125" style="15" hidden="1" customWidth="1"/>
    <col min="69" max="69" width="9" style="15" bestFit="1" customWidth="1"/>
    <col min="70" max="70" width="16.875" style="15" bestFit="1" customWidth="1"/>
    <col min="71" max="72" width="11.875" style="15" bestFit="1" customWidth="1"/>
    <col min="73" max="73" width="32.25" style="15" bestFit="1" customWidth="1"/>
    <col min="74" max="74" width="28.875" style="15" bestFit="1" customWidth="1"/>
    <col min="75" max="16384" width="16.75" style="15"/>
  </cols>
  <sheetData>
    <row r="2" spans="2:74" x14ac:dyDescent="0.25">
      <c r="B2" s="16" t="s">
        <v>60</v>
      </c>
      <c r="D2" s="15" t="s">
        <v>19</v>
      </c>
      <c r="K2" s="15" t="s">
        <v>64</v>
      </c>
      <c r="S2" s="15" t="s">
        <v>68</v>
      </c>
      <c r="X2" s="15" t="s">
        <v>69</v>
      </c>
      <c r="AB2" s="15" t="s">
        <v>71</v>
      </c>
      <c r="AD2" s="15" t="s">
        <v>73</v>
      </c>
      <c r="AJ2" s="15" t="s">
        <v>75</v>
      </c>
      <c r="AP2" s="15" t="s">
        <v>80</v>
      </c>
      <c r="AS2" s="15" t="s">
        <v>81</v>
      </c>
      <c r="BA2" s="15" t="s">
        <v>87</v>
      </c>
      <c r="BD2" s="15" t="s">
        <v>87</v>
      </c>
    </row>
    <row r="3" spans="2:74" ht="21.75" x14ac:dyDescent="0.25">
      <c r="AF3" s="37"/>
      <c r="AG3" s="36"/>
      <c r="BM3" s="48" t="s">
        <v>89</v>
      </c>
      <c r="BN3" s="49" t="s">
        <v>3</v>
      </c>
      <c r="BO3" s="48" t="s">
        <v>5</v>
      </c>
      <c r="BP3" s="48" t="s">
        <v>90</v>
      </c>
      <c r="BQ3" s="48" t="s">
        <v>5</v>
      </c>
      <c r="BR3" s="48" t="s">
        <v>91</v>
      </c>
      <c r="BS3" s="48" t="s">
        <v>11</v>
      </c>
      <c r="BT3" s="48" t="s">
        <v>12</v>
      </c>
    </row>
    <row r="4" spans="2:74" x14ac:dyDescent="0.3">
      <c r="B4" s="15" t="s">
        <v>59</v>
      </c>
      <c r="D4" s="17" t="s">
        <v>61</v>
      </c>
      <c r="E4" s="15" t="s">
        <v>63</v>
      </c>
      <c r="F4"/>
      <c r="K4" s="17" t="s">
        <v>61</v>
      </c>
      <c r="L4" s="15" t="s">
        <v>65</v>
      </c>
      <c r="M4"/>
      <c r="S4" s="31" t="s">
        <v>61</v>
      </c>
      <c r="T4" s="32" t="s">
        <v>66</v>
      </c>
      <c r="U4" s="32" t="s">
        <v>67</v>
      </c>
      <c r="X4" s="31" t="s">
        <v>61</v>
      </c>
      <c r="Y4" s="32" t="s">
        <v>70</v>
      </c>
      <c r="Z4"/>
      <c r="AB4" s="32" t="s">
        <v>72</v>
      </c>
      <c r="AC4"/>
      <c r="AD4" s="32" t="s">
        <v>74</v>
      </c>
      <c r="AE4" s="38"/>
      <c r="AF4" s="39" t="s">
        <v>77</v>
      </c>
      <c r="AG4" s="40">
        <f>GETPIVOTDATA("Total Salaries",$AD$4)</f>
        <v>12100</v>
      </c>
      <c r="AJ4" s="32" t="s">
        <v>76</v>
      </c>
      <c r="AL4" s="39" t="s">
        <v>78</v>
      </c>
      <c r="AM4" s="40">
        <f>GETPIVOTDATA("Total Wages",$AJ$4)</f>
        <v>15100</v>
      </c>
      <c r="AO4"/>
      <c r="AP4" s="31" t="s">
        <v>61</v>
      </c>
      <c r="AQ4" s="35" t="s">
        <v>80</v>
      </c>
      <c r="AR4"/>
      <c r="AS4" s="31" t="s">
        <v>61</v>
      </c>
      <c r="AT4" s="32" t="s">
        <v>82</v>
      </c>
      <c r="AU4" s="32" t="s">
        <v>83</v>
      </c>
      <c r="AV4" s="32" t="s">
        <v>84</v>
      </c>
      <c r="AW4" s="32" t="s">
        <v>85</v>
      </c>
      <c r="AX4"/>
      <c r="AY4"/>
      <c r="AZ4"/>
      <c r="BA4" s="31" t="s">
        <v>61</v>
      </c>
      <c r="BB4" s="35" t="s">
        <v>86</v>
      </c>
      <c r="BC4"/>
      <c r="BD4" s="31" t="s">
        <v>59</v>
      </c>
      <c r="BE4" s="31" t="s">
        <v>88</v>
      </c>
      <c r="BF4" s="32"/>
      <c r="BG4" s="32"/>
      <c r="BH4" s="32"/>
      <c r="BI4" s="32"/>
      <c r="BJ4" s="32"/>
      <c r="BK4" s="32"/>
      <c r="BL4"/>
      <c r="BU4"/>
      <c r="BV4"/>
    </row>
    <row r="5" spans="2:74" x14ac:dyDescent="0.3">
      <c r="B5" s="45">
        <v>24</v>
      </c>
      <c r="D5" s="18" t="s">
        <v>28</v>
      </c>
      <c r="E5" s="45">
        <v>19</v>
      </c>
      <c r="F5"/>
      <c r="K5" s="18" t="s">
        <v>56</v>
      </c>
      <c r="L5" s="45">
        <v>16</v>
      </c>
      <c r="M5"/>
      <c r="N5" s="21" t="s">
        <v>56</v>
      </c>
      <c r="O5" s="24">
        <f>IFERROR(VLOOKUP(N5,K4:L8,2,0),"")</f>
        <v>16</v>
      </c>
      <c r="S5" s="33" t="s">
        <v>56</v>
      </c>
      <c r="T5" s="35">
        <v>6400</v>
      </c>
      <c r="U5" s="35">
        <v>3100</v>
      </c>
      <c r="X5" s="33" t="s">
        <v>27</v>
      </c>
      <c r="Y5" s="35">
        <v>12</v>
      </c>
      <c r="Z5"/>
      <c r="AB5" s="34">
        <v>27200</v>
      </c>
      <c r="AC5"/>
      <c r="AD5" s="34">
        <v>12100</v>
      </c>
      <c r="AE5" s="38"/>
      <c r="AF5" s="41" t="s">
        <v>78</v>
      </c>
      <c r="AG5" s="42">
        <f>GETPIVOTDATA("Total Wages",$AJ$4)</f>
        <v>15100</v>
      </c>
      <c r="AJ5" s="34">
        <v>15100</v>
      </c>
      <c r="AL5" s="41" t="s">
        <v>77</v>
      </c>
      <c r="AM5" s="42">
        <f>GETPIVOTDATA("Total Salaries",$AD$4)</f>
        <v>12100</v>
      </c>
      <c r="AO5"/>
      <c r="AP5" s="33" t="s">
        <v>20</v>
      </c>
      <c r="AQ5" s="35">
        <v>3200</v>
      </c>
      <c r="AR5"/>
      <c r="AS5" s="33" t="s">
        <v>38</v>
      </c>
      <c r="AT5" s="35">
        <v>608</v>
      </c>
      <c r="AU5" s="35">
        <v>16</v>
      </c>
      <c r="AV5" s="35">
        <v>16</v>
      </c>
      <c r="AW5" s="35">
        <v>16</v>
      </c>
      <c r="AX5"/>
      <c r="AY5"/>
      <c r="AZ5"/>
      <c r="BA5" s="33" t="s">
        <v>20</v>
      </c>
      <c r="BB5" s="35">
        <v>14</v>
      </c>
      <c r="BC5"/>
      <c r="BD5" s="31" t="s">
        <v>61</v>
      </c>
      <c r="BE5" s="32" t="s">
        <v>26</v>
      </c>
      <c r="BF5" s="32" t="s">
        <v>50</v>
      </c>
      <c r="BG5" s="32" t="s">
        <v>33</v>
      </c>
      <c r="BH5" s="32" t="s">
        <v>36</v>
      </c>
      <c r="BI5" s="32" t="s">
        <v>42</v>
      </c>
      <c r="BJ5" s="32" t="s">
        <v>39</v>
      </c>
      <c r="BK5" s="32" t="s">
        <v>62</v>
      </c>
      <c r="BL5"/>
      <c r="BU5"/>
      <c r="BV5"/>
    </row>
    <row r="6" spans="2:74" x14ac:dyDescent="0.3">
      <c r="D6" s="18" t="s">
        <v>48</v>
      </c>
      <c r="E6" s="45">
        <v>5</v>
      </c>
      <c r="F6"/>
      <c r="G6" s="19" t="s">
        <v>48</v>
      </c>
      <c r="H6" s="20">
        <f>IFERROR(VLOOKUP(G6,D4:E7,2,0),"")</f>
        <v>5</v>
      </c>
      <c r="K6" s="18" t="s">
        <v>57</v>
      </c>
      <c r="L6" s="45">
        <v>6</v>
      </c>
      <c r="M6"/>
      <c r="N6" s="22" t="s">
        <v>57</v>
      </c>
      <c r="O6" s="25">
        <f>IFERROR(VLOOKUP(N6,K5:L9,2,0),"")</f>
        <v>6</v>
      </c>
      <c r="S6" s="33" t="s">
        <v>57</v>
      </c>
      <c r="T6" s="35">
        <v>4000</v>
      </c>
      <c r="U6" s="35">
        <v>600</v>
      </c>
      <c r="X6" s="33" t="s">
        <v>34</v>
      </c>
      <c r="Y6" s="35">
        <v>12</v>
      </c>
      <c r="Z6"/>
      <c r="AB6"/>
      <c r="AC6"/>
      <c r="AD6"/>
      <c r="AE6"/>
      <c r="AF6"/>
      <c r="AJ6"/>
      <c r="AO6"/>
      <c r="AP6" s="33" t="s">
        <v>29</v>
      </c>
      <c r="AQ6" s="35">
        <v>2000</v>
      </c>
      <c r="AR6"/>
      <c r="AS6" s="33" t="s">
        <v>24</v>
      </c>
      <c r="AT6" s="35">
        <v>260</v>
      </c>
      <c r="AU6" s="35">
        <v>8</v>
      </c>
      <c r="AV6" s="35">
        <v>8</v>
      </c>
      <c r="AW6" s="35">
        <v>8</v>
      </c>
      <c r="AX6"/>
      <c r="AY6"/>
      <c r="AZ6"/>
      <c r="BA6" s="33" t="s">
        <v>29</v>
      </c>
      <c r="BB6" s="35">
        <v>16</v>
      </c>
      <c r="BC6"/>
      <c r="BD6" s="33" t="s">
        <v>52</v>
      </c>
      <c r="BE6" s="35"/>
      <c r="BF6" s="35"/>
      <c r="BG6" s="35"/>
      <c r="BH6" s="35"/>
      <c r="BI6" s="35"/>
      <c r="BJ6" s="35">
        <v>2</v>
      </c>
      <c r="BK6" s="35">
        <v>2</v>
      </c>
      <c r="BL6"/>
      <c r="BU6"/>
      <c r="BV6"/>
    </row>
    <row r="7" spans="2:74" x14ac:dyDescent="0.3">
      <c r="D7" s="18" t="s">
        <v>62</v>
      </c>
      <c r="E7" s="45">
        <v>24</v>
      </c>
      <c r="F7"/>
      <c r="K7" s="18" t="s">
        <v>58</v>
      </c>
      <c r="L7" s="45">
        <v>2</v>
      </c>
      <c r="M7"/>
      <c r="N7" s="23" t="s">
        <v>58</v>
      </c>
      <c r="O7" s="26">
        <f>IFERROR(VLOOKUP(N7,K6:L10,2,0),"")</f>
        <v>2</v>
      </c>
      <c r="S7" s="33" t="s">
        <v>58</v>
      </c>
      <c r="T7" s="35">
        <v>800</v>
      </c>
      <c r="U7" s="35">
        <v>200</v>
      </c>
      <c r="X7" s="33" t="s">
        <v>62</v>
      </c>
      <c r="Y7" s="35">
        <v>24</v>
      </c>
      <c r="Z7"/>
      <c r="AB7"/>
      <c r="AC7"/>
      <c r="AD7"/>
      <c r="AE7"/>
      <c r="AF7"/>
      <c r="AJ7"/>
      <c r="AO7"/>
      <c r="AP7" s="33" t="s">
        <v>35</v>
      </c>
      <c r="AQ7" s="35">
        <v>4000</v>
      </c>
      <c r="AR7"/>
      <c r="AS7" s="33" t="s">
        <v>62</v>
      </c>
      <c r="AT7" s="35">
        <v>868</v>
      </c>
      <c r="AU7" s="35">
        <v>24</v>
      </c>
      <c r="AV7" s="35">
        <v>24</v>
      </c>
      <c r="AW7" s="35">
        <v>24</v>
      </c>
      <c r="AX7"/>
      <c r="AY7"/>
      <c r="AZ7"/>
      <c r="BA7" s="33" t="s">
        <v>35</v>
      </c>
      <c r="BB7" s="35">
        <v>51</v>
      </c>
      <c r="BC7"/>
      <c r="BD7" s="33" t="s">
        <v>44</v>
      </c>
      <c r="BE7" s="35"/>
      <c r="BF7" s="35"/>
      <c r="BG7" s="35"/>
      <c r="BH7" s="35"/>
      <c r="BI7" s="35">
        <v>2</v>
      </c>
      <c r="BJ7" s="35"/>
      <c r="BK7" s="35">
        <v>2</v>
      </c>
      <c r="BL7"/>
      <c r="BU7"/>
      <c r="BV7"/>
    </row>
    <row r="8" spans="2:74" x14ac:dyDescent="0.3">
      <c r="D8"/>
      <c r="E8"/>
      <c r="F8"/>
      <c r="K8" s="18" t="s">
        <v>62</v>
      </c>
      <c r="L8" s="45">
        <v>24</v>
      </c>
      <c r="M8"/>
      <c r="S8" s="33" t="s">
        <v>62</v>
      </c>
      <c r="T8" s="35">
        <v>11200</v>
      </c>
      <c r="U8" s="35">
        <v>3900</v>
      </c>
      <c r="X8"/>
      <c r="Y8"/>
      <c r="Z8"/>
      <c r="AB8"/>
      <c r="AC8"/>
      <c r="AD8"/>
      <c r="AE8"/>
      <c r="AF8" s="43" t="s">
        <v>79</v>
      </c>
      <c r="AG8" s="44">
        <f>AG4/GETPIVOTDATA("Total Expenses",$AB$4)</f>
        <v>0.44485294117647056</v>
      </c>
      <c r="AL8" s="43" t="s">
        <v>79</v>
      </c>
      <c r="AM8" s="44">
        <f>AM4/GETPIVOTDATA("Total Expenses",$AB$4)</f>
        <v>0.55514705882352944</v>
      </c>
      <c r="AO8"/>
      <c r="AP8" s="33" t="s">
        <v>37</v>
      </c>
      <c r="AQ8" s="35">
        <v>1000</v>
      </c>
      <c r="AR8"/>
      <c r="AS8"/>
      <c r="AT8"/>
      <c r="AU8"/>
      <c r="AV8"/>
      <c r="AW8"/>
      <c r="AX8"/>
      <c r="AY8"/>
      <c r="AZ8"/>
      <c r="BA8" s="33" t="s">
        <v>37</v>
      </c>
      <c r="BB8" s="35">
        <v>4</v>
      </c>
      <c r="BC8"/>
      <c r="BD8" s="33" t="s">
        <v>26</v>
      </c>
      <c r="BE8" s="35"/>
      <c r="BF8" s="35"/>
      <c r="BG8" s="35">
        <v>2</v>
      </c>
      <c r="BH8" s="35">
        <v>2</v>
      </c>
      <c r="BI8" s="35"/>
      <c r="BJ8" s="35"/>
      <c r="BK8" s="35">
        <v>4</v>
      </c>
    </row>
    <row r="9" spans="2:74" x14ac:dyDescent="0.25">
      <c r="D9"/>
      <c r="E9"/>
      <c r="F9"/>
      <c r="K9"/>
      <c r="L9"/>
      <c r="M9"/>
      <c r="S9"/>
      <c r="T9"/>
      <c r="U9"/>
      <c r="X9"/>
      <c r="Y9"/>
      <c r="Z9"/>
      <c r="AB9"/>
      <c r="AC9"/>
      <c r="AD9"/>
      <c r="AE9"/>
      <c r="AF9"/>
      <c r="AJ9"/>
      <c r="AO9"/>
      <c r="AP9" s="33" t="s">
        <v>40</v>
      </c>
      <c r="AQ9" s="35">
        <v>1400</v>
      </c>
      <c r="AR9"/>
      <c r="AS9"/>
      <c r="AT9"/>
      <c r="AU9"/>
      <c r="AV9"/>
      <c r="AW9"/>
      <c r="AX9"/>
      <c r="AY9"/>
      <c r="AZ9"/>
      <c r="BA9" s="33" t="s">
        <v>40</v>
      </c>
      <c r="BB9" s="35">
        <v>5</v>
      </c>
      <c r="BC9"/>
      <c r="BD9" s="33" t="s">
        <v>46</v>
      </c>
      <c r="BE9" s="35"/>
      <c r="BF9" s="35"/>
      <c r="BG9" s="35"/>
      <c r="BH9" s="35"/>
      <c r="BI9" s="35"/>
      <c r="BJ9" s="35">
        <v>2</v>
      </c>
      <c r="BK9" s="35">
        <v>2</v>
      </c>
    </row>
    <row r="10" spans="2:74" x14ac:dyDescent="0.25">
      <c r="D10"/>
      <c r="E10"/>
      <c r="F10"/>
      <c r="K10"/>
      <c r="L10"/>
      <c r="M10"/>
      <c r="S10"/>
      <c r="T10"/>
      <c r="U10"/>
      <c r="X10"/>
      <c r="Y10"/>
      <c r="Z10"/>
      <c r="AB10"/>
      <c r="AC10"/>
      <c r="AD10"/>
      <c r="AE10"/>
      <c r="AF10"/>
      <c r="AJ10"/>
      <c r="AO10"/>
      <c r="AP10" s="33" t="s">
        <v>43</v>
      </c>
      <c r="AQ10" s="35">
        <v>3600</v>
      </c>
      <c r="AR10"/>
      <c r="AS10"/>
      <c r="AT10"/>
      <c r="AU10"/>
      <c r="AV10"/>
      <c r="BA10" s="33" t="s">
        <v>43</v>
      </c>
      <c r="BB10" s="35">
        <v>24</v>
      </c>
      <c r="BC10"/>
      <c r="BD10" s="33" t="s">
        <v>32</v>
      </c>
      <c r="BE10" s="35"/>
      <c r="BF10" s="35"/>
      <c r="BG10" s="35">
        <v>2</v>
      </c>
      <c r="BH10" s="35"/>
      <c r="BI10" s="35"/>
      <c r="BJ10" s="35"/>
      <c r="BK10" s="35">
        <v>2</v>
      </c>
    </row>
    <row r="11" spans="2:74" x14ac:dyDescent="0.25">
      <c r="D11"/>
      <c r="E11"/>
      <c r="F11"/>
      <c r="K11"/>
      <c r="L11"/>
      <c r="M11"/>
      <c r="S11"/>
      <c r="T11"/>
      <c r="U11"/>
      <c r="X11"/>
      <c r="Y11"/>
      <c r="Z11"/>
      <c r="AB11"/>
      <c r="AC11"/>
      <c r="AD11"/>
      <c r="AE11"/>
      <c r="AF11"/>
      <c r="AJ11"/>
      <c r="AO11"/>
      <c r="AP11" s="33" t="s">
        <v>45</v>
      </c>
      <c r="AQ11" s="35">
        <v>2200</v>
      </c>
      <c r="AR11"/>
      <c r="AS11"/>
      <c r="AT11"/>
      <c r="AU11"/>
      <c r="AV11"/>
      <c r="BA11" s="33" t="s">
        <v>45</v>
      </c>
      <c r="BB11" s="35">
        <v>26</v>
      </c>
      <c r="BC11"/>
      <c r="BD11" s="33" t="s">
        <v>55</v>
      </c>
      <c r="BE11" s="35"/>
      <c r="BF11" s="35"/>
      <c r="BG11" s="35">
        <v>2</v>
      </c>
      <c r="BH11" s="35"/>
      <c r="BI11" s="35"/>
      <c r="BJ11" s="35"/>
      <c r="BK11" s="35">
        <v>2</v>
      </c>
    </row>
    <row r="12" spans="2:74" x14ac:dyDescent="0.25">
      <c r="D12"/>
      <c r="E12"/>
      <c r="F12"/>
      <c r="K12"/>
      <c r="L12"/>
      <c r="M12"/>
      <c r="S12"/>
      <c r="T12"/>
      <c r="U12"/>
      <c r="X12"/>
      <c r="Y12"/>
      <c r="Z12"/>
      <c r="AB12"/>
      <c r="AC12"/>
      <c r="AD12"/>
      <c r="AE12"/>
      <c r="AF12"/>
      <c r="AJ12"/>
      <c r="AO12"/>
      <c r="AP12" s="33" t="s">
        <v>47</v>
      </c>
      <c r="AQ12" s="35">
        <v>2500</v>
      </c>
      <c r="AR12"/>
      <c r="AS12"/>
      <c r="AT12"/>
      <c r="AU12"/>
      <c r="BA12" s="33" t="s">
        <v>47</v>
      </c>
      <c r="BB12" s="35">
        <v>49</v>
      </c>
      <c r="BC12"/>
      <c r="BD12" s="33" t="s">
        <v>33</v>
      </c>
      <c r="BE12" s="35"/>
      <c r="BF12" s="35">
        <v>2</v>
      </c>
      <c r="BG12" s="35"/>
      <c r="BH12" s="35"/>
      <c r="BI12" s="35"/>
      <c r="BJ12" s="35">
        <v>2</v>
      </c>
      <c r="BK12" s="35">
        <v>4</v>
      </c>
    </row>
    <row r="13" spans="2:74" x14ac:dyDescent="0.25">
      <c r="D13"/>
      <c r="E13"/>
      <c r="F13"/>
      <c r="K13"/>
      <c r="L13"/>
      <c r="M13"/>
      <c r="S13"/>
      <c r="T13"/>
      <c r="U13"/>
      <c r="X13"/>
      <c r="Y13"/>
      <c r="Z13"/>
      <c r="AB13"/>
      <c r="AC13"/>
      <c r="AD13"/>
      <c r="AE13"/>
      <c r="AF13"/>
      <c r="AJ13"/>
      <c r="AO13"/>
      <c r="AP13" s="33" t="s">
        <v>49</v>
      </c>
      <c r="AQ13" s="35">
        <v>1000</v>
      </c>
      <c r="AR13"/>
      <c r="AS13"/>
      <c r="AT13"/>
      <c r="AU13"/>
      <c r="BA13" s="33" t="s">
        <v>49</v>
      </c>
      <c r="BB13" s="35">
        <v>9</v>
      </c>
      <c r="BC13"/>
      <c r="BD13" s="33" t="s">
        <v>42</v>
      </c>
      <c r="BE13" s="35"/>
      <c r="BF13" s="35"/>
      <c r="BG13" s="35"/>
      <c r="BH13" s="35"/>
      <c r="BI13" s="35"/>
      <c r="BJ13" s="35">
        <v>2</v>
      </c>
      <c r="BK13" s="35">
        <v>2</v>
      </c>
    </row>
    <row r="14" spans="2:74" x14ac:dyDescent="0.25">
      <c r="D14"/>
      <c r="E14"/>
      <c r="F14"/>
      <c r="K14"/>
      <c r="L14"/>
      <c r="M14"/>
      <c r="S14"/>
      <c r="T14"/>
      <c r="U14"/>
      <c r="X14"/>
      <c r="Y14"/>
      <c r="Z14"/>
      <c r="AB14"/>
      <c r="AC14"/>
      <c r="AD14"/>
      <c r="AE14"/>
      <c r="AF14"/>
      <c r="AJ14"/>
      <c r="AO14"/>
      <c r="AP14" s="33" t="s">
        <v>51</v>
      </c>
      <c r="AQ14" s="35">
        <v>3700</v>
      </c>
      <c r="AR14"/>
      <c r="AS14"/>
      <c r="AT14"/>
      <c r="AU14"/>
      <c r="BA14" s="33" t="s">
        <v>51</v>
      </c>
      <c r="BB14" s="35">
        <v>79</v>
      </c>
      <c r="BC14"/>
      <c r="BD14" s="33" t="s">
        <v>25</v>
      </c>
      <c r="BE14" s="35">
        <v>4</v>
      </c>
      <c r="BF14" s="35"/>
      <c r="BG14" s="35"/>
      <c r="BH14" s="35"/>
      <c r="BI14" s="35"/>
      <c r="BJ14" s="35"/>
      <c r="BK14" s="35">
        <v>4</v>
      </c>
    </row>
    <row r="15" spans="2:74" x14ac:dyDescent="0.25">
      <c r="D15"/>
      <c r="E15"/>
      <c r="F15"/>
      <c r="K15"/>
      <c r="L15"/>
      <c r="M15"/>
      <c r="S15"/>
      <c r="T15"/>
      <c r="U15"/>
      <c r="X15"/>
      <c r="Y15"/>
      <c r="Z15"/>
      <c r="AB15"/>
      <c r="AC15"/>
      <c r="AD15"/>
      <c r="AE15"/>
      <c r="AF15"/>
      <c r="AJ15"/>
      <c r="AO15"/>
      <c r="AP15" s="33" t="s">
        <v>53</v>
      </c>
      <c r="AQ15" s="35">
        <v>1600</v>
      </c>
      <c r="AR15"/>
      <c r="AS15"/>
      <c r="AT15"/>
      <c r="AU15"/>
      <c r="BA15" s="33" t="s">
        <v>53</v>
      </c>
      <c r="BB15" s="35">
        <v>11</v>
      </c>
      <c r="BC15"/>
      <c r="BD15" s="33" t="s">
        <v>62</v>
      </c>
      <c r="BE15" s="35">
        <v>4</v>
      </c>
      <c r="BF15" s="35">
        <v>2</v>
      </c>
      <c r="BG15" s="35">
        <v>6</v>
      </c>
      <c r="BH15" s="35">
        <v>2</v>
      </c>
      <c r="BI15" s="35">
        <v>2</v>
      </c>
      <c r="BJ15" s="35">
        <v>8</v>
      </c>
      <c r="BK15" s="35">
        <v>24</v>
      </c>
    </row>
    <row r="16" spans="2:74" x14ac:dyDescent="0.25">
      <c r="D16"/>
      <c r="E16"/>
      <c r="F16"/>
      <c r="K16"/>
      <c r="L16"/>
      <c r="M16"/>
      <c r="S16"/>
      <c r="T16"/>
      <c r="U16"/>
      <c r="X16"/>
      <c r="Y16"/>
      <c r="Z16"/>
      <c r="AB16"/>
      <c r="AC16"/>
      <c r="AD16"/>
      <c r="AE16"/>
      <c r="AF16"/>
      <c r="AJ16"/>
      <c r="AO16"/>
      <c r="AP16" s="33" t="s">
        <v>54</v>
      </c>
      <c r="AQ16" s="35">
        <v>1000</v>
      </c>
      <c r="AR16"/>
      <c r="AS16"/>
      <c r="AT16"/>
      <c r="AU16"/>
      <c r="BA16" s="33" t="s">
        <v>54</v>
      </c>
      <c r="BB16" s="35">
        <v>12</v>
      </c>
      <c r="BC16"/>
      <c r="BD16"/>
      <c r="BE16"/>
      <c r="BF16"/>
    </row>
    <row r="17" spans="4:72" x14ac:dyDescent="0.25">
      <c r="D17"/>
      <c r="E17"/>
      <c r="F17"/>
      <c r="K17"/>
      <c r="L17"/>
      <c r="M17"/>
      <c r="S17"/>
      <c r="T17"/>
      <c r="U17"/>
      <c r="X17"/>
      <c r="Y17"/>
      <c r="Z17"/>
      <c r="AB17"/>
      <c r="AC17"/>
      <c r="AD17"/>
      <c r="AE17"/>
      <c r="AF17"/>
      <c r="AJ17"/>
      <c r="AO17"/>
      <c r="AP17" s="33" t="s">
        <v>62</v>
      </c>
      <c r="AQ17" s="35">
        <v>27200</v>
      </c>
      <c r="AR17"/>
      <c r="AS17"/>
      <c r="AT17"/>
      <c r="AU17"/>
      <c r="BA17" s="33" t="s">
        <v>62</v>
      </c>
      <c r="BB17" s="35">
        <v>300</v>
      </c>
      <c r="BC17"/>
      <c r="BD17"/>
      <c r="BE17"/>
      <c r="BF17"/>
    </row>
    <row r="18" spans="4:72" x14ac:dyDescent="0.25">
      <c r="D18"/>
      <c r="E18"/>
      <c r="F18"/>
      <c r="K18"/>
      <c r="L18"/>
      <c r="M18"/>
      <c r="S18"/>
      <c r="T18"/>
      <c r="U18"/>
      <c r="X18"/>
      <c r="Y18"/>
      <c r="Z18"/>
      <c r="AB18"/>
      <c r="AC18"/>
      <c r="AD18"/>
      <c r="AE18"/>
      <c r="AF18"/>
      <c r="AJ18"/>
      <c r="AO18"/>
      <c r="AP18"/>
      <c r="AQ18"/>
      <c r="AR18"/>
      <c r="AS18"/>
      <c r="AT18"/>
      <c r="AU18"/>
      <c r="BA18"/>
      <c r="BB18"/>
      <c r="BC18"/>
      <c r="BD18"/>
      <c r="BE18"/>
      <c r="BF18"/>
    </row>
    <row r="19" spans="4:72" x14ac:dyDescent="0.25">
      <c r="D19"/>
      <c r="E19"/>
      <c r="F19"/>
      <c r="K19"/>
      <c r="L19"/>
      <c r="M19"/>
      <c r="S19"/>
      <c r="T19"/>
      <c r="U19"/>
      <c r="X19"/>
      <c r="Y19"/>
      <c r="Z19"/>
      <c r="AB19"/>
      <c r="AC19"/>
      <c r="AD19"/>
      <c r="AE19"/>
      <c r="AF19"/>
      <c r="AJ19"/>
      <c r="AO19"/>
      <c r="AP19"/>
      <c r="AQ19"/>
      <c r="AR19"/>
      <c r="AS19"/>
      <c r="AT19"/>
      <c r="AU19"/>
      <c r="BA19"/>
      <c r="BB19"/>
      <c r="BC19"/>
      <c r="BD19"/>
      <c r="BE19"/>
      <c r="BF19"/>
    </row>
    <row r="20" spans="4:72" x14ac:dyDescent="0.25">
      <c r="D20"/>
      <c r="E20"/>
      <c r="F20"/>
      <c r="K20"/>
      <c r="L20"/>
      <c r="M20"/>
      <c r="S20"/>
      <c r="T20"/>
      <c r="U20"/>
      <c r="X20"/>
      <c r="Y20"/>
      <c r="Z20"/>
      <c r="AB20"/>
      <c r="AC20"/>
      <c r="AD20"/>
      <c r="AE20"/>
      <c r="AF20"/>
      <c r="AJ20"/>
      <c r="AO20"/>
      <c r="AP20"/>
      <c r="AQ20"/>
      <c r="AR20"/>
      <c r="AS20"/>
      <c r="AT20"/>
      <c r="AU20"/>
      <c r="BA20"/>
      <c r="BB20"/>
      <c r="BC20"/>
      <c r="BD20"/>
      <c r="BE20"/>
      <c r="BF20"/>
    </row>
    <row r="21" spans="4:72" x14ac:dyDescent="0.25">
      <c r="D21"/>
      <c r="E21"/>
      <c r="F21"/>
      <c r="K21"/>
      <c r="L21"/>
      <c r="M21"/>
      <c r="S21"/>
      <c r="T21"/>
      <c r="U21"/>
      <c r="X21"/>
      <c r="Y21"/>
      <c r="Z21"/>
      <c r="AB21"/>
      <c r="AC21"/>
      <c r="AD21"/>
      <c r="AE21"/>
      <c r="AF21"/>
      <c r="AJ21"/>
      <c r="AO21"/>
      <c r="AP21"/>
      <c r="AQ21"/>
      <c r="AR21"/>
      <c r="AS21"/>
      <c r="AT21"/>
      <c r="AU21"/>
      <c r="BA21"/>
      <c r="BB21"/>
      <c r="BC21"/>
      <c r="BD21"/>
      <c r="BE21"/>
      <c r="BF21"/>
    </row>
    <row r="22" spans="4:72" x14ac:dyDescent="0.25">
      <c r="BD22"/>
      <c r="BE22"/>
    </row>
    <row r="23" spans="4:72" x14ac:dyDescent="0.25">
      <c r="BD23"/>
      <c r="BE23"/>
    </row>
    <row r="24" spans="4:72" x14ac:dyDescent="0.25">
      <c r="BD24"/>
      <c r="BE24"/>
    </row>
    <row r="25" spans="4:72" x14ac:dyDescent="0.25">
      <c r="BD25"/>
      <c r="BE25"/>
    </row>
    <row r="28" spans="4:72" x14ac:dyDescent="0.25">
      <c r="BM28"/>
      <c r="BN28"/>
      <c r="BO28"/>
      <c r="BP28"/>
      <c r="BQ28"/>
      <c r="BR28"/>
      <c r="BS28"/>
      <c r="BT28"/>
    </row>
    <row r="29" spans="4:72" x14ac:dyDescent="0.25">
      <c r="BM29"/>
      <c r="BN29" s="46"/>
      <c r="BO29"/>
      <c r="BP29"/>
      <c r="BQ29"/>
      <c r="BR29"/>
      <c r="BS29"/>
      <c r="BT29"/>
    </row>
    <row r="30" spans="4:72" x14ac:dyDescent="0.25">
      <c r="BM30"/>
    </row>
    <row r="31" spans="4:72" x14ac:dyDescent="0.25">
      <c r="BM31"/>
    </row>
    <row r="32" spans="4:72" x14ac:dyDescent="0.25">
      <c r="BM32"/>
    </row>
    <row r="33" spans="65:65" x14ac:dyDescent="0.25">
      <c r="BM33"/>
    </row>
    <row r="34" spans="65:65" x14ac:dyDescent="0.25">
      <c r="BM34"/>
    </row>
    <row r="35" spans="65:65" x14ac:dyDescent="0.25">
      <c r="BM35"/>
    </row>
    <row r="36" spans="65:65" x14ac:dyDescent="0.25">
      <c r="BM36"/>
    </row>
    <row r="37" spans="65:65" x14ac:dyDescent="0.25">
      <c r="BM37"/>
    </row>
    <row r="38" spans="65:65" x14ac:dyDescent="0.25">
      <c r="BM38"/>
    </row>
    <row r="39" spans="65:65" x14ac:dyDescent="0.25">
      <c r="BM39"/>
    </row>
    <row r="40" spans="65:65" x14ac:dyDescent="0.25">
      <c r="BM40"/>
    </row>
    <row r="41" spans="65:65" x14ac:dyDescent="0.25">
      <c r="BM41"/>
    </row>
    <row r="42" spans="65:65" x14ac:dyDescent="0.25">
      <c r="BM42"/>
    </row>
    <row r="43" spans="65:65" x14ac:dyDescent="0.25">
      <c r="BM43"/>
    </row>
    <row r="44" spans="65:65" x14ac:dyDescent="0.25">
      <c r="BM44"/>
    </row>
    <row r="45" spans="65:65" x14ac:dyDescent="0.25">
      <c r="BM45"/>
    </row>
    <row r="46" spans="65:65" x14ac:dyDescent="0.25">
      <c r="BM46"/>
    </row>
    <row r="47" spans="65:65" x14ac:dyDescent="0.25">
      <c r="BM47"/>
    </row>
    <row r="48" spans="65:65" x14ac:dyDescent="0.25">
      <c r="BM48"/>
    </row>
    <row r="49" spans="65:65" x14ac:dyDescent="0.25">
      <c r="BM49"/>
    </row>
    <row r="50" spans="65:65" x14ac:dyDescent="0.25">
      <c r="BM50"/>
    </row>
    <row r="51" spans="65:65" x14ac:dyDescent="0.25">
      <c r="BM51"/>
    </row>
    <row r="52" spans="65:65" x14ac:dyDescent="0.25">
      <c r="BM52"/>
    </row>
    <row r="53" spans="65:65" x14ac:dyDescent="0.25">
      <c r="BM53"/>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Database</vt:lpstr>
      <vt:lpstr>Dashboard</vt:lpstr>
      <vt:lpstr>Schedule</vt:lpstr>
      <vt:lpstr>Pivottables</vt:lpstr>
    </vt:vector>
  </TitlesOfParts>
  <Manager>www.other-levels.com</Manager>
  <Company>www.other-levels.com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Fleet Management Transportation &amp; Logistics Dashboard</dc:title>
  <dc:subject/>
  <dc:creator>www.other-levels.com</dc:creator>
  <cp:keywords>www.other-levels.com</cp:keywords>
  <dc:description>Copyright © 2022 Other Level's. All rights reserved
"Any illegal reproduction of this content in any form will result in immediate action against the person concerned."</dc:description>
  <cp:lastModifiedBy>Muhammad Syakir bin Mohd Syukri</cp:lastModifiedBy>
  <dcterms:created xsi:type="dcterms:W3CDTF">2022-05-09T12:20:03Z</dcterms:created>
  <dcterms:modified xsi:type="dcterms:W3CDTF">2026-03-14T14:46:59Z</dcterms:modified>
  <cp:category/>
</cp:coreProperties>
</file>